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em.echa.europa.eu/100.013.290/harmonised" TargetMode="External" Id="rId1"/><Relationship Type="http://schemas.openxmlformats.org/officeDocument/2006/relationships/hyperlink" Target="-" TargetMode="External" Id="rId2"/><Relationship Type="http://schemas.openxmlformats.org/officeDocument/2006/relationships/hyperlink" Target="-" TargetMode="External" Id="rId3"/><Relationship Type="http://schemas.openxmlformats.org/officeDocument/2006/relationships/hyperlink" Target="-" TargetMode="External" Id="rId4"/><Relationship Type="http://schemas.openxmlformats.org/officeDocument/2006/relationships/hyperlink" Target="https://echa.europa.eu/web/guest/registry-of-clh-intentions-until-outcome/-/dislist/substance/external/100.013.290" TargetMode="External" Id="rId5"/><Relationship Type="http://schemas.openxmlformats.org/officeDocument/2006/relationships/hyperlink" Target="https://chem.echa.europa.eu/100.004.993/self-classified" TargetMode="External" Id="rId6"/><Relationship Type="http://schemas.openxmlformats.org/officeDocument/2006/relationships/hyperlink" Target="https://echa.europa.eu/web/guest/information-on-chemicals/evaluation/community-rolling-action-plan/corap-table/-/dislist/substance/external/100.004.993" TargetMode="External" Id="rId7"/><Relationship Type="http://schemas.openxmlformats.org/officeDocument/2006/relationships/hyperlink" Target="https://echa.europa.eu/web/guest/information-on-chemicals/dossier-evaluation-status/-/dislist/substance/external/100.004.993" TargetMode="External" Id="rId8"/><Relationship Type="http://schemas.openxmlformats.org/officeDocument/2006/relationships/hyperlink" Target="https://echa.europa.eu/web/guest/assessment-regulatory-needs/-/dislist/substance/external/100.004.993" TargetMode="External" Id="rId9"/><Relationship Type="http://schemas.openxmlformats.org/officeDocument/2006/relationships/hyperlink" Target="-" TargetMode="External" Id="rId10"/><Relationship Type="http://schemas.openxmlformats.org/officeDocument/2006/relationships/hyperlink" Target="https://chem.echa.europa.eu/100.004.994/self-classified" TargetMode="External" Id="rId11"/><Relationship Type="http://schemas.openxmlformats.org/officeDocument/2006/relationships/hyperlink" Target="https://echa.europa.eu/web/guest/information-on-chemicals/evaluation/community-rolling-action-plan/corap-table/-/dislist/substance/external/100.004.994" TargetMode="External" Id="rId12"/><Relationship Type="http://schemas.openxmlformats.org/officeDocument/2006/relationships/hyperlink" Target="https://echa.europa.eu/web/guest/information-on-chemicals/dossier-evaluation-status/-/dislist/substance/external/100.004.994" TargetMode="External" Id="rId13"/><Relationship Type="http://schemas.openxmlformats.org/officeDocument/2006/relationships/hyperlink" Target="https://echa.europa.eu/web/guest/assessment-regulatory-needs/-/dislist/substance/external/100.004.994" TargetMode="External" Id="rId14"/><Relationship Type="http://schemas.openxmlformats.org/officeDocument/2006/relationships/hyperlink" Target="-" TargetMode="External" Id="rId15"/><Relationship Type="http://schemas.openxmlformats.org/officeDocument/2006/relationships/hyperlink" Target="https://chem.echa.europa.eu/100.121.477/self-classified" TargetMode="External" Id="rId16"/><Relationship Type="http://schemas.openxmlformats.org/officeDocument/2006/relationships/hyperlink" Target="-" TargetMode="External" Id="rId17"/><Relationship Type="http://schemas.openxmlformats.org/officeDocument/2006/relationships/hyperlink" Target="https://echa.europa.eu/web/guest/information-on-chemicals/dossier-evaluation-status/-/dislist/substance/external/100.104.897" TargetMode="External" Id="rId18"/><Relationship Type="http://schemas.openxmlformats.org/officeDocument/2006/relationships/hyperlink" Target="-" TargetMode="External" Id="rId19"/><Relationship Type="http://schemas.openxmlformats.org/officeDocument/2006/relationships/hyperlink" Target="-" TargetMode="External" Id="rId20"/><Relationship Type="http://schemas.openxmlformats.org/officeDocument/2006/relationships/hyperlink" Target="https://chem.echa.europa.eu/100.104.897/self-classified" TargetMode="External" Id="rId21"/><Relationship Type="http://schemas.openxmlformats.org/officeDocument/2006/relationships/hyperlink" Target="-" TargetMode="External" Id="rId22"/><Relationship Type="http://schemas.openxmlformats.org/officeDocument/2006/relationships/hyperlink" Target="https://echa.europa.eu/web/guest/information-on-chemicals/dossier-evaluation-status/-/dislist/substance/external/100.104.897" TargetMode="External" Id="rId23"/><Relationship Type="http://schemas.openxmlformats.org/officeDocument/2006/relationships/hyperlink" Target="-" TargetMode="External" Id="rId24"/><Relationship Type="http://schemas.openxmlformats.org/officeDocument/2006/relationships/hyperlink" Target="-" TargetMode="External" Id="rId25"/><Relationship Type="http://schemas.openxmlformats.org/officeDocument/2006/relationships/hyperlink" Target="https://chem.echa.europa.eu/100.000.763/harmonised" TargetMode="External" Id="rId26"/><Relationship Type="http://schemas.openxmlformats.org/officeDocument/2006/relationships/hyperlink" Target="https://echa.europa.eu/web/guest/information-on-chemicals/evaluation/community-rolling-action-plan/corap-table/-/dislist/substance/external/100.000.763" TargetMode="External" Id="rId27"/><Relationship Type="http://schemas.openxmlformats.org/officeDocument/2006/relationships/hyperlink" Target="https://echa.europa.eu/web/guest/information-on-chemicals/dossier-evaluation-status/-/dislist/substance/external/100.000.763" TargetMode="External" Id="rId28"/><Relationship Type="http://schemas.openxmlformats.org/officeDocument/2006/relationships/hyperlink" Target="-" TargetMode="External" Id="rId29"/><Relationship Type="http://schemas.openxmlformats.org/officeDocument/2006/relationships/hyperlink" Target="https://echa.europa.eu/web/guest/registry-of-clh-intentions-until-outcome/-/dislist/substance/external/100.000.763" TargetMode="External" Id="rId30"/><Relationship Type="http://schemas.openxmlformats.org/officeDocument/2006/relationships/hyperlink" Target="https://chem.echa.europa.eu/100.009.010/self-classified" TargetMode="External" Id="rId31"/><Relationship Type="http://schemas.openxmlformats.org/officeDocument/2006/relationships/hyperlink" Target="https://echa.europa.eu/web/guest/information-on-chemicals/evaluation/community-rolling-action-plan/corap-table/-/dislist/substance/external/100.009.010" TargetMode="External" Id="rId32"/><Relationship Type="http://schemas.openxmlformats.org/officeDocument/2006/relationships/hyperlink" Target="https://echa.europa.eu/web/guest/information-on-chemicals/dossier-evaluation-status/-/dislist/substance/external/100.009.010" TargetMode="External" Id="rId33"/><Relationship Type="http://schemas.openxmlformats.org/officeDocument/2006/relationships/hyperlink" Target="-" TargetMode="External" Id="rId34"/><Relationship Type="http://schemas.openxmlformats.org/officeDocument/2006/relationships/hyperlink" Target="-" TargetMode="External" Id="rId35"/><Relationship Type="http://schemas.openxmlformats.org/officeDocument/2006/relationships/hyperlink" Target="https://chem.echa.europa.eu/100.106.762/self-classified" TargetMode="External" Id="rId36"/><Relationship Type="http://schemas.openxmlformats.org/officeDocument/2006/relationships/hyperlink" Target="-" TargetMode="External" Id="rId37"/><Relationship Type="http://schemas.openxmlformats.org/officeDocument/2006/relationships/hyperlink" Target="-" TargetMode="External" Id="rId38"/><Relationship Type="http://schemas.openxmlformats.org/officeDocument/2006/relationships/hyperlink" Target="-" TargetMode="External" Id="rId39"/><Relationship Type="http://schemas.openxmlformats.org/officeDocument/2006/relationships/hyperlink" Target="https://echa.europa.eu/web/guest/registry-of-clh-intentions-until-outcome/-/dislist/substance/external/100.102.716" TargetMode="External" Id="rId40"/><Relationship Type="http://schemas.openxmlformats.org/officeDocument/2006/relationships/hyperlink" Target="https://chem.echa.europa.eu/100.102.716/harmonised" TargetMode="External" Id="rId41"/><Relationship Type="http://schemas.openxmlformats.org/officeDocument/2006/relationships/hyperlink" Target="-" TargetMode="External" Id="rId42"/><Relationship Type="http://schemas.openxmlformats.org/officeDocument/2006/relationships/hyperlink" Target="-" TargetMode="External" Id="rId43"/><Relationship Type="http://schemas.openxmlformats.org/officeDocument/2006/relationships/hyperlink" Target="-" TargetMode="External" Id="rId44"/><Relationship Type="http://schemas.openxmlformats.org/officeDocument/2006/relationships/hyperlink" Target="https://echa.europa.eu/web/guest/registry-of-clh-intentions-until-outcome/-/dislist/substance/external/100.102.716" TargetMode="External" Id="rId45"/><Relationship Type="http://schemas.openxmlformats.org/officeDocument/2006/relationships/hyperlink" Target="https://chem.echa.europa.eu/100.013.451/self-classified" TargetMode="External" Id="rId46"/><Relationship Type="http://schemas.openxmlformats.org/officeDocument/2006/relationships/hyperlink" Target="-" TargetMode="External" Id="rId47"/><Relationship Type="http://schemas.openxmlformats.org/officeDocument/2006/relationships/hyperlink" Target="-" TargetMode="External" Id="rId48"/><Relationship Type="http://schemas.openxmlformats.org/officeDocument/2006/relationships/hyperlink" Target="https://echa.europa.eu/web/guest/assessment-regulatory-needs/-/dislist/substance/external/100.013.451" TargetMode="External" Id="rId49"/><Relationship Type="http://schemas.openxmlformats.org/officeDocument/2006/relationships/hyperlink" Target="-" TargetMode="External" Id="rId50"/><Relationship Type="http://schemas.openxmlformats.org/officeDocument/2006/relationships/hyperlink" Target="-" TargetMode="External" Id="rId51"/><Relationship Type="http://schemas.openxmlformats.org/officeDocument/2006/relationships/hyperlink" Target="-" TargetMode="External" Id="rId52"/><Relationship Type="http://schemas.openxmlformats.org/officeDocument/2006/relationships/hyperlink" Target="-" TargetMode="External" Id="rId53"/><Relationship Type="http://schemas.openxmlformats.org/officeDocument/2006/relationships/hyperlink" Target="-" TargetMode="External" Id="rId54"/><Relationship Type="http://schemas.openxmlformats.org/officeDocument/2006/relationships/hyperlink" Target="-" TargetMode="External" Id="rId55"/><Relationship Type="http://schemas.openxmlformats.org/officeDocument/2006/relationships/hyperlink" Target="https://chem.echa.europa.eu/100.014.295/self-classified" TargetMode="External" Id="rId56"/><Relationship Type="http://schemas.openxmlformats.org/officeDocument/2006/relationships/hyperlink" Target="-" TargetMode="External" Id="rId57"/><Relationship Type="http://schemas.openxmlformats.org/officeDocument/2006/relationships/hyperlink" Target="-" TargetMode="External" Id="rId58"/><Relationship Type="http://schemas.openxmlformats.org/officeDocument/2006/relationships/hyperlink" Target="-" TargetMode="External" Id="rId59"/><Relationship Type="http://schemas.openxmlformats.org/officeDocument/2006/relationships/hyperlink" Target="-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</cols>
  <sheetData>
    <row r="1">
      <c r="A1" s="2" t="inlineStr">
        <is>
          <t>id</t>
        </is>
      </c>
      <c r="B1" s="2" t="inlineStr">
        <is>
          <t>Input</t>
        </is>
      </c>
      <c r="C1" s="2" t="inlineStr">
        <is>
          <t>Date collected</t>
        </is>
      </c>
      <c r="D1" s="2" t="inlineStr">
        <is>
          <t>CAS</t>
        </is>
      </c>
      <c r="E1" s="2" t="inlineStr">
        <is>
          <t>EC</t>
        </is>
      </c>
      <c r="F1" s="2" t="inlineStr">
        <is>
          <t>Name ECHA-CHEM</t>
        </is>
      </c>
      <c r="G1" s="2" t="inlineStr">
        <is>
          <t>ECHA-CHEM checked</t>
        </is>
      </c>
      <c r="H1" s="2" t="inlineStr">
        <is>
          <t>REACH tonnage band</t>
        </is>
      </c>
      <c r="I1" s="2" t="inlineStr">
        <is>
          <t>On C&amp;L?</t>
        </is>
      </c>
      <c r="J1" s="2" t="inlineStr">
        <is>
          <t>Entries C&amp;L</t>
        </is>
      </c>
      <c r="K1" s="2" t="inlineStr">
        <is>
          <t>C&amp;L URL</t>
        </is>
      </c>
      <c r="L1" s="2" t="inlineStr">
        <is>
          <t>C&amp;L Type</t>
        </is>
      </c>
      <c r="M1" s="2" t="inlineStr">
        <is>
          <t>Joint Entries</t>
        </is>
      </c>
      <c r="N1" s="2" t="inlineStr">
        <is>
          <t>Classification - Hazard classes</t>
        </is>
      </c>
      <c r="O1" s="2" t="inlineStr">
        <is>
          <t>Classification - Hazard statements</t>
        </is>
      </c>
      <c r="P1" s="2" t="inlineStr">
        <is>
          <t>Classification - Organs/ExposureRoute</t>
        </is>
      </c>
      <c r="Q1" s="2" t="inlineStr">
        <is>
          <t>Labeling - Hazard statements</t>
        </is>
      </c>
      <c r="R1" s="2" t="inlineStr">
        <is>
          <t>Labeling - Supplementary Hazard statements</t>
        </is>
      </c>
      <c r="S1" s="2" t="inlineStr">
        <is>
          <t>Labeling - Organs/ExposureRoute</t>
        </is>
      </c>
      <c r="T1" s="2" t="inlineStr">
        <is>
          <t>Specific concentration limits</t>
        </is>
      </c>
      <c r="U1" s="2" t="inlineStr">
        <is>
          <t>M-factors</t>
        </is>
      </c>
      <c r="V1" s="2" t="inlineStr">
        <is>
          <t>C&amp;L notes</t>
        </is>
      </c>
      <c r="W1" s="2" t="inlineStr">
        <is>
          <t>ED PPP: Yes/No</t>
        </is>
      </c>
      <c r="X1" s="2" t="inlineStr">
        <is>
          <t>ED PPP: Status</t>
        </is>
      </c>
      <c r="Y1" s="2" t="inlineStr">
        <is>
          <t>ED PPP: Conclusion HH</t>
        </is>
      </c>
      <c r="Z1" s="2" t="inlineStr">
        <is>
          <t>ED PPP: Conclusion non-TO</t>
        </is>
      </c>
      <c r="AA1" s="2" t="inlineStr">
        <is>
          <t>ED PPP: EFSA conclusion link</t>
        </is>
      </c>
      <c r="AB1" s="2" t="inlineStr">
        <is>
          <t>BPR: Yes/No</t>
        </is>
      </c>
      <c r="AC1" s="2" t="inlineStr">
        <is>
          <t>BPR: ED HH</t>
        </is>
      </c>
      <c r="AD1" s="2" t="inlineStr">
        <is>
          <t>BPR: ED ENV</t>
        </is>
      </c>
      <c r="AE1" s="2" t="inlineStr">
        <is>
          <t>ED Assessment List: Yes/No</t>
        </is>
      </c>
      <c r="AF1" s="2" t="inlineStr">
        <is>
          <t>ED Assessment List: Outcome</t>
        </is>
      </c>
      <c r="AG1" s="2" t="inlineStr">
        <is>
          <t>ED Assessment List: Status</t>
        </is>
      </c>
      <c r="AH1" s="2" t="inlineStr">
        <is>
          <t>ED Assessment List: Authority</t>
        </is>
      </c>
      <c r="AI1" s="2" t="inlineStr">
        <is>
          <t>ED Assessment List: Last updated</t>
        </is>
      </c>
      <c r="AJ1" s="2" t="inlineStr">
        <is>
          <t>SVHC: Yes/No</t>
        </is>
      </c>
      <c r="AK1" s="2" t="inlineStr">
        <is>
          <t>SVHC: Reason</t>
        </is>
      </c>
      <c r="AL1" s="2" t="inlineStr">
        <is>
          <t>SVHC: Date Inclusion</t>
        </is>
      </c>
      <c r="AM1" s="2" t="inlineStr">
        <is>
          <t>SVHC: Decision</t>
        </is>
      </c>
      <c r="AN1" s="2" t="inlineStr">
        <is>
          <t>Food additive: Yes/No</t>
        </is>
      </c>
      <c r="AO1" s="2" t="inlineStr">
        <is>
          <t>Food additive: E number</t>
        </is>
      </c>
      <c r="AP1" s="2" t="inlineStr">
        <is>
          <t>Food flavourings: Yes/No</t>
        </is>
      </c>
      <c r="AQ1" s="2" t="inlineStr">
        <is>
          <t>Food flavourings: FL</t>
        </is>
      </c>
      <c r="AR1" s="2" t="inlineStr">
        <is>
          <t>SVHC intent: Yes/No</t>
        </is>
      </c>
      <c r="AS1" s="2" t="inlineStr">
        <is>
          <t>SVHC intent: Status</t>
        </is>
      </c>
      <c r="AT1" s="2" t="inlineStr">
        <is>
          <t>SVHC intent: Scope</t>
        </is>
      </c>
      <c r="AU1" s="2" t="inlineStr">
        <is>
          <t>SVHC intent: Last updated</t>
        </is>
      </c>
      <c r="AV1" s="2" t="inlineStr">
        <is>
          <t>PACT: Yes/No</t>
        </is>
      </c>
      <c r="AW1" s="2" t="inlineStr">
        <is>
          <t>PACT: SEv</t>
        </is>
      </c>
      <c r="AX1" s="2" t="inlineStr">
        <is>
          <t>PACT: SEv link</t>
        </is>
      </c>
      <c r="AY1" s="2" t="inlineStr">
        <is>
          <t>PACT: DEv</t>
        </is>
      </c>
      <c r="AZ1" s="2" t="inlineStr">
        <is>
          <t>PACT: DEv link</t>
        </is>
      </c>
      <c r="BA1" s="2" t="inlineStr">
        <is>
          <t>PACT: ED</t>
        </is>
      </c>
      <c r="BB1" s="2" t="inlineStr">
        <is>
          <t>PACT: ED link</t>
        </is>
      </c>
      <c r="BC1" s="2" t="inlineStr">
        <is>
          <t>PACT: ARN</t>
        </is>
      </c>
      <c r="BD1" s="2" t="inlineStr">
        <is>
          <t>PACT: ARN link</t>
        </is>
      </c>
      <c r="BE1" s="2" t="inlineStr">
        <is>
          <t>PACT: PBT</t>
        </is>
      </c>
      <c r="BF1" s="2" t="inlineStr">
        <is>
          <t>PACT: PBT link</t>
        </is>
      </c>
      <c r="BG1" s="2" t="inlineStr">
        <is>
          <t>PACT: CLH</t>
        </is>
      </c>
      <c r="BH1" s="2" t="inlineStr">
        <is>
          <t>PACT: CLH link</t>
        </is>
      </c>
      <c r="BI1" s="2" t="inlineStr">
        <is>
          <t>PACT: SVHC</t>
        </is>
      </c>
      <c r="BJ1" s="2" t="inlineStr">
        <is>
          <t>PACT: SVHC link</t>
        </is>
      </c>
      <c r="BK1" s="2" t="inlineStr">
        <is>
          <t>CoRAP: Yes/No</t>
        </is>
      </c>
      <c r="BL1" s="2" t="inlineStr">
        <is>
          <t>CoRAP: Initial grounds of Concern</t>
        </is>
      </c>
      <c r="BM1" s="2" t="inlineStr">
        <is>
          <t>CoRAP: Status</t>
        </is>
      </c>
      <c r="BN1" s="2" t="inlineStr">
        <is>
          <t>CoRAP: Latest update</t>
        </is>
      </c>
      <c r="BO1" s="2" t="inlineStr">
        <is>
          <t>casNumber</t>
        </is>
      </c>
      <c r="BP1" s="2" t="inlineStr">
        <is>
          <t>rmlId</t>
        </is>
      </c>
      <c r="BQ1" s="2" t="inlineStr">
        <is>
          <t>tonnageBand</t>
        </is>
      </c>
      <c r="BR1" s="2" t="inlineStr">
        <is>
          <t>name</t>
        </is>
      </c>
      <c r="BS1" s="2" t="inlineStr">
        <is>
          <t>ecNumber</t>
        </is>
      </c>
      <c r="BT1" s="2" t="inlineStr">
        <is>
          <t>cas</t>
        </is>
      </c>
      <c r="BU1" s="2" t="inlineStr">
        <is>
          <t>molFormula</t>
        </is>
      </c>
      <c r="BV1" s="2" t="inlineStr">
        <is>
          <t>inchi</t>
        </is>
      </c>
      <c r="BW1" s="2" t="inlineStr">
        <is>
          <t>classificationId</t>
        </is>
      </c>
      <c r="BX1" s="2" t="inlineStr">
        <is>
          <t>atpCodeName</t>
        </is>
      </c>
      <c r="BY1" s="2" t="inlineStr">
        <is>
          <t>chemicalName</t>
        </is>
      </c>
      <c r="BZ1" s="2" t="inlineStr">
        <is>
          <t>signalWord</t>
        </is>
      </c>
      <c r="CA1" s="2" t="inlineStr">
        <is>
          <t>type</t>
        </is>
      </c>
      <c r="CB1" s="2" t="inlineStr">
        <is>
          <t>totalHarmonisedClassifications</t>
        </is>
      </c>
      <c r="CC1" s="2" t="inlineStr">
        <is>
          <t>totalIndustryClassifications</t>
        </is>
      </c>
      <c r="CD1" s="2" t="inlineStr">
        <is>
          <t>isHarmonized</t>
        </is>
      </c>
      <c r="CE1" s="2" t="inlineStr">
        <is>
          <t>classification</t>
        </is>
      </c>
      <c r="CF1" s="2" t="inlineStr">
        <is>
          <t>industryClassification</t>
        </is>
      </c>
      <c r="CG1" s="2" t="inlineStr">
        <is>
          <t>labelling</t>
        </is>
      </c>
      <c r="CH1" s="2" t="inlineStr">
        <is>
          <t>mFactor</t>
        </is>
      </c>
      <c r="CI1" s="2" t="inlineStr">
        <is>
          <t>hazards</t>
        </is>
      </c>
      <c r="CJ1" s="2" t="inlineStr">
        <is>
          <t>notes</t>
        </is>
      </c>
      <c r="CK1" s="2" t="inlineStr">
        <is>
          <t>notClassifiedOrNoGhs</t>
        </is>
      </c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</row>
    <row r="2">
      <c r="A2" t="n">
        <v>7</v>
      </c>
      <c r="B2" t="inlineStr">
        <is>
          <t>1166-46-7</t>
        </is>
      </c>
      <c r="C2" t="inlineStr">
        <is>
          <t>10/09/2025 12:45:20</t>
        </is>
      </c>
      <c r="D2" t="inlineStr">
        <is>
          <t>1166-46-7</t>
        </is>
      </c>
      <c r="E2" t="inlineStr">
        <is>
          <t>214-619-0</t>
        </is>
      </c>
      <c r="F2" t="inlineStr">
        <is>
          <t>(1,3,4,5,6,7-hexahydro-1,3-dioxo-2H-isoindol-2-yl)methyl (1R-trans)-2,2-dimethyl-3-(2-methylprop-1-enyl)cyclopropanecarboxylate</t>
        </is>
      </c>
      <c r="G2" t="inlineStr">
        <is>
          <t>-</t>
        </is>
      </c>
      <c r="H2" t="inlineStr">
        <is>
          <t>-</t>
        </is>
      </c>
      <c r="I2" t="inlineStr">
        <is>
          <t>Yes</t>
        </is>
      </c>
      <c r="J2" t="n">
        <v>4</v>
      </c>
      <c r="K2" s="4" t="inlineStr">
        <is>
          <t>https://chem.echa.europa.eu/100.013.290/harmonised</t>
        </is>
      </c>
      <c r="L2" t="inlineStr">
        <is>
          <t>Harmonised C&amp;L</t>
        </is>
      </c>
      <c r="M2" t="inlineStr">
        <is>
          <t>-</t>
        </is>
      </c>
      <c r="N2" t="inlineStr">
        <is>
          <t>Carc. 2, Acute Tox. 4 (Oral), STOT SE 2, Aquatic Acute 1, Aquatic Chronic 1</t>
        </is>
      </c>
      <c r="O2" t="inlineStr">
        <is>
          <t>H351, H302, H371, H400, H410</t>
        </is>
      </c>
      <c r="P2" t="inlineStr">
        <is>
          <t>-</t>
        </is>
      </c>
      <c r="Q2" t="inlineStr">
        <is>
          <t>H351, H302, H371, H410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Acute: 100; Chronic: 100</t>
        </is>
      </c>
      <c r="V2" t="inlineStr">
        <is>
          <t>-</t>
        </is>
      </c>
      <c r="W2" t="inlineStr">
        <is>
          <t>No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No</t>
        </is>
      </c>
      <c r="AC2" t="inlineStr">
        <is>
          <t>-</t>
        </is>
      </c>
      <c r="AD2" t="inlineStr">
        <is>
          <t>-</t>
        </is>
      </c>
      <c r="AE2" t="inlineStr">
        <is>
          <t>Yes</t>
        </is>
      </c>
      <c r="AF2" t="inlineStr">
        <is>
          <t>Under development (BPR)</t>
        </is>
      </c>
      <c r="AG2" t="inlineStr">
        <is>
          <t>Under development</t>
        </is>
      </c>
      <c r="AH2" t="inlineStr">
        <is>
          <t>Germany</t>
        </is>
      </c>
      <c r="AI2" t="inlineStr">
        <is>
          <t>03-Feb-2021</t>
        </is>
      </c>
      <c r="AJ2" t="inlineStr">
        <is>
          <t>No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No</t>
        </is>
      </c>
      <c r="AO2" t="inlineStr">
        <is>
          <t>-</t>
        </is>
      </c>
      <c r="AP2" t="inlineStr">
        <is>
          <t>No</t>
        </is>
      </c>
      <c r="AQ2" t="inlineStr">
        <is>
          <t>-</t>
        </is>
      </c>
      <c r="AR2" t="inlineStr">
        <is>
          <t>No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Yes</t>
        </is>
      </c>
      <c r="AW2" t="inlineStr">
        <is>
          <t>0</t>
        </is>
      </c>
      <c r="AX2" s="4" t="inlineStr">
        <is>
          <t>-</t>
        </is>
      </c>
      <c r="AY2" t="inlineStr">
        <is>
          <t>0</t>
        </is>
      </c>
      <c r="AZ2" s="4" t="inlineStr">
        <is>
          <t>-</t>
        </is>
      </c>
      <c r="BA2" t="inlineStr">
        <is>
          <t>1</t>
        </is>
      </c>
      <c r="BB2" t="inlineStr">
        <is>
          <t>https://echa.europa.eu/web/guest/ed-assessment/-/dislist/substance/external/100.013.290</t>
        </is>
      </c>
      <c r="BC2" t="inlineStr">
        <is>
          <t>0</t>
        </is>
      </c>
      <c r="BD2" s="4" t="inlineStr">
        <is>
          <t>-</t>
        </is>
      </c>
      <c r="BE2" t="inlineStr">
        <is>
          <t>0</t>
        </is>
      </c>
      <c r="BF2" t="inlineStr">
        <is>
          <t>-</t>
        </is>
      </c>
      <c r="BG2" t="inlineStr">
        <is>
          <t>1</t>
        </is>
      </c>
      <c r="BH2" s="4" t="inlineStr">
        <is>
          <t>https://echa.europa.eu/web/guest/registry-of-clh-intentions-until-outcome/-/dislist/substance/external/100.013.290</t>
        </is>
      </c>
      <c r="BI2" t="inlineStr">
        <is>
          <t>0</t>
        </is>
      </c>
      <c r="BJ2" t="inlineStr">
        <is>
          <t>-</t>
        </is>
      </c>
      <c r="BK2" t="inlineStr">
        <is>
          <t>No</t>
        </is>
      </c>
      <c r="BL2" t="inlineStr">
        <is>
          <t>-</t>
        </is>
      </c>
      <c r="BM2" t="inlineStr">
        <is>
          <t>-</t>
        </is>
      </c>
      <c r="BN2" t="inlineStr">
        <is>
          <t>-</t>
        </is>
      </c>
    </row>
    <row r="3">
      <c r="A3" t="n">
        <v>8</v>
      </c>
      <c r="B3" t="inlineStr">
        <is>
          <t>141-62-8</t>
        </is>
      </c>
      <c r="C3" t="inlineStr">
        <is>
          <t>10/09/2025 12:45:20</t>
        </is>
      </c>
      <c r="D3" t="inlineStr">
        <is>
          <t>141-62-8</t>
        </is>
      </c>
      <c r="E3" t="inlineStr">
        <is>
          <t>205-491-7</t>
        </is>
      </c>
      <c r="F3" t="inlineStr">
        <is>
          <t>Decamethyltetrasiloxane</t>
        </is>
      </c>
      <c r="G3" t="inlineStr">
        <is>
          <t>-</t>
        </is>
      </c>
      <c r="H3" t="inlineStr">
        <is>
          <t>100 - 1,000 tonnes</t>
        </is>
      </c>
      <c r="I3" t="inlineStr">
        <is>
          <t>Yes</t>
        </is>
      </c>
      <c r="J3" t="n">
        <v>4</v>
      </c>
      <c r="K3" s="4" t="inlineStr">
        <is>
          <t>https://chem.echa.europa.eu/100.004.993/self-classified</t>
        </is>
      </c>
      <c r="L3" t="inlineStr">
        <is>
          <t>Notified C&amp;L</t>
        </is>
      </c>
      <c r="M3" t="inlineStr">
        <is>
          <t>REACH Joint</t>
        </is>
      </c>
      <c r="N3" t="inlineStr">
        <is>
          <t>Flam. Liq. 3</t>
        </is>
      </c>
      <c r="O3" t="inlineStr">
        <is>
          <t>H226</t>
        </is>
      </c>
      <c r="P3" t="inlineStr">
        <is>
          <t>-</t>
        </is>
      </c>
      <c r="Q3" t="inlineStr">
        <is>
          <t>H226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Acute: -; Chronic: -</t>
        </is>
      </c>
      <c r="V3" t="inlineStr">
        <is>
          <t>-</t>
        </is>
      </c>
      <c r="W3" t="inlineStr">
        <is>
          <t>No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No</t>
        </is>
      </c>
      <c r="AC3" t="inlineStr">
        <is>
          <t>-</t>
        </is>
      </c>
      <c r="AD3" t="inlineStr">
        <is>
          <t>-</t>
        </is>
      </c>
      <c r="AE3" t="inlineStr">
        <is>
          <t>No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Yes</t>
        </is>
      </c>
      <c r="AK3" t="inlineStr">
        <is>
          <t>vPvB (Article 57e)</t>
        </is>
      </c>
      <c r="AL3" t="inlineStr">
        <is>
          <t>https://echa.europa.eu/documents/10162/e9f427a1-e41c-d61a-726a-89666f3de869</t>
        </is>
      </c>
      <c r="AM3" t="inlineStr">
        <is>
          <t>https://echa.europa.eu/documents/10162/aa51d34c-bdfa-ad9c-4568-25a7d14e1e21</t>
        </is>
      </c>
      <c r="AN3" t="inlineStr">
        <is>
          <t>No</t>
        </is>
      </c>
      <c r="AO3" t="inlineStr">
        <is>
          <t>-</t>
        </is>
      </c>
      <c r="AP3" t="inlineStr">
        <is>
          <t>No</t>
        </is>
      </c>
      <c r="AQ3" t="inlineStr">
        <is>
          <t>-</t>
        </is>
      </c>
      <c r="AR3" t="inlineStr">
        <is>
          <t>Yes</t>
        </is>
      </c>
      <c r="AS3" t="inlineStr">
        <is>
          <t>Identified SVHC</t>
        </is>
      </c>
      <c r="AT3" t="inlineStr">
        <is>
          <t>vPvB (Article 57e)</t>
        </is>
      </c>
      <c r="AU3" t="inlineStr">
        <is>
          <t>25-Jun-2025</t>
        </is>
      </c>
      <c r="AV3" t="inlineStr">
        <is>
          <t>Yes</t>
        </is>
      </c>
      <c r="AW3" t="inlineStr">
        <is>
          <t>1</t>
        </is>
      </c>
      <c r="AX3" s="4" t="inlineStr">
        <is>
          <t>https://echa.europa.eu/web/guest/information-on-chemicals/evaluation/community-rolling-action-plan/corap-table/-/dislist/substance/external/100.004.993</t>
        </is>
      </c>
      <c r="AY3" t="inlineStr">
        <is>
          <t>2</t>
        </is>
      </c>
      <c r="AZ3" s="4" t="inlineStr">
        <is>
          <t>https://echa.europa.eu/web/guest/information-on-chemicals/dossier-evaluation-status/-/dislist/substance/external/100.004.993</t>
        </is>
      </c>
      <c r="BA3" t="inlineStr">
        <is>
          <t>0</t>
        </is>
      </c>
      <c r="BB3" t="inlineStr">
        <is>
          <t>-</t>
        </is>
      </c>
      <c r="BC3" t="inlineStr">
        <is>
          <t>1</t>
        </is>
      </c>
      <c r="BD3" s="4" t="inlineStr">
        <is>
          <t>https://echa.europa.eu/web/guest/assessment-regulatory-needs/-/dislist/substance/external/100.004.993</t>
        </is>
      </c>
      <c r="BE3" t="inlineStr">
        <is>
          <t>1</t>
        </is>
      </c>
      <c r="BF3" t="inlineStr">
        <is>
          <t>https://echa.europa.eu/web/guest/pbt/-/dislist/substance/external/100.004.993</t>
        </is>
      </c>
      <c r="BG3" t="inlineStr">
        <is>
          <t>0</t>
        </is>
      </c>
      <c r="BH3" s="4" t="inlineStr">
        <is>
          <t>-</t>
        </is>
      </c>
      <c r="BI3" t="inlineStr">
        <is>
          <t>1</t>
        </is>
      </c>
      <c r="BJ3" t="inlineStr">
        <is>
          <t>https://echa.europa.eu/web/guest/registry-of-svhc-intentions/-/dislist/substance/external/100.004.993</t>
        </is>
      </c>
      <c r="BK3" t="inlineStr">
        <is>
          <t>Yes</t>
        </is>
      </c>
      <c r="BL3" t="inlineStr">
        <is>
          <t>Suspected PBT/vPvB#Exposure of environment#Wide dispersive use</t>
        </is>
      </c>
      <c r="BM3" t="inlineStr">
        <is>
          <t>Concluded</t>
        </is>
      </c>
      <c r="BN3" t="inlineStr">
        <is>
          <t>31-Mar-2022</t>
        </is>
      </c>
    </row>
    <row r="4">
      <c r="A4" t="n">
        <v>1</v>
      </c>
      <c r="B4" t="inlineStr">
        <is>
          <t>141-63-9</t>
        </is>
      </c>
      <c r="C4" t="inlineStr">
        <is>
          <t>10/09/2025 12:45:20</t>
        </is>
      </c>
      <c r="D4" t="inlineStr">
        <is>
          <t>141-63-9</t>
        </is>
      </c>
      <c r="E4" t="inlineStr">
        <is>
          <t>205-492-2</t>
        </is>
      </c>
      <c r="F4" t="inlineStr">
        <is>
          <t>Dodecamethylpentasiloxane</t>
        </is>
      </c>
      <c r="G4" t="inlineStr">
        <is>
          <t>-</t>
        </is>
      </c>
      <c r="H4" t="inlineStr">
        <is>
          <t>1,000 - 10,000 tonnes</t>
        </is>
      </c>
      <c r="I4" t="inlineStr">
        <is>
          <t>Yes</t>
        </is>
      </c>
      <c r="J4" t="n">
        <v>3</v>
      </c>
      <c r="K4" s="4" t="inlineStr">
        <is>
          <t>https://chem.echa.europa.eu/100.004.994/self-classified</t>
        </is>
      </c>
      <c r="L4" t="inlineStr">
        <is>
          <t>Notified C&amp;L</t>
        </is>
      </c>
      <c r="M4" t="inlineStr">
        <is>
          <t>REACH Joint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Acute: -; Chronic: -</t>
        </is>
      </c>
      <c r="V4" t="inlineStr">
        <is>
          <t>-</t>
        </is>
      </c>
      <c r="W4" t="inlineStr">
        <is>
          <t>No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No</t>
        </is>
      </c>
      <c r="AC4" t="inlineStr">
        <is>
          <t>-</t>
        </is>
      </c>
      <c r="AD4" t="inlineStr">
        <is>
          <t>-</t>
        </is>
      </c>
      <c r="AE4" t="inlineStr">
        <is>
          <t>No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No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No</t>
        </is>
      </c>
      <c r="AO4" t="inlineStr">
        <is>
          <t>-</t>
        </is>
      </c>
      <c r="AP4" t="inlineStr">
        <is>
          <t>No</t>
        </is>
      </c>
      <c r="AQ4" t="inlineStr">
        <is>
          <t>-</t>
        </is>
      </c>
      <c r="AR4" t="inlineStr">
        <is>
          <t>Yes</t>
        </is>
      </c>
      <c r="AS4" t="inlineStr">
        <is>
          <t>Intention</t>
        </is>
      </c>
      <c r="AT4" t="inlineStr">
        <is>
          <t>vPvB (Article 57e)</t>
        </is>
      </c>
      <c r="AU4" t="inlineStr">
        <is>
          <t>03-Jan-2025</t>
        </is>
      </c>
      <c r="AV4" t="inlineStr">
        <is>
          <t>Yes</t>
        </is>
      </c>
      <c r="AW4" t="inlineStr">
        <is>
          <t>1</t>
        </is>
      </c>
      <c r="AX4" s="4" t="inlineStr">
        <is>
          <t>https://echa.europa.eu/web/guest/information-on-chemicals/evaluation/community-rolling-action-plan/corap-table/-/dislist/substance/external/100.004.994</t>
        </is>
      </c>
      <c r="AY4" t="inlineStr">
        <is>
          <t>3</t>
        </is>
      </c>
      <c r="AZ4" s="4" t="inlineStr">
        <is>
          <t>https://echa.europa.eu/web/guest/information-on-chemicals/dossier-evaluation-status/-/dislist/substance/external/100.004.994</t>
        </is>
      </c>
      <c r="BA4" t="inlineStr">
        <is>
          <t>0</t>
        </is>
      </c>
      <c r="BB4" t="inlineStr">
        <is>
          <t>-</t>
        </is>
      </c>
      <c r="BC4" t="inlineStr">
        <is>
          <t>1</t>
        </is>
      </c>
      <c r="BD4" s="4" t="inlineStr">
        <is>
          <t>https://echa.europa.eu/web/guest/assessment-regulatory-needs/-/dislist/substance/external/100.004.994</t>
        </is>
      </c>
      <c r="BE4" t="inlineStr">
        <is>
          <t>1</t>
        </is>
      </c>
      <c r="BF4" t="inlineStr">
        <is>
          <t>https://echa.europa.eu/web/guest/pbt/-/dislist/substance/external/100.004.994</t>
        </is>
      </c>
      <c r="BG4" t="inlineStr">
        <is>
          <t>0</t>
        </is>
      </c>
      <c r="BH4" s="4" t="inlineStr">
        <is>
          <t>-</t>
        </is>
      </c>
      <c r="BI4" t="inlineStr">
        <is>
          <t>1</t>
        </is>
      </c>
      <c r="BJ4" t="inlineStr">
        <is>
          <t>https://echa.europa.eu/web/guest/registry-of-svhc-intentions/-/dislist/substance/external/100.004.994</t>
        </is>
      </c>
      <c r="BK4" t="inlineStr">
        <is>
          <t>Yes</t>
        </is>
      </c>
      <c r="BL4" t="inlineStr">
        <is>
          <t>Suspected PBT/vPvB#Exposure of environment#Wide dispersive use</t>
        </is>
      </c>
      <c r="BM4" t="inlineStr">
        <is>
          <t>Concluded</t>
        </is>
      </c>
      <c r="BN4" t="inlineStr">
        <is>
          <t>31-Mar-2022</t>
        </is>
      </c>
    </row>
    <row r="5">
      <c r="A5" t="n">
        <v>5</v>
      </c>
      <c r="B5" t="inlineStr">
        <is>
          <t>85877-79-8</t>
        </is>
      </c>
      <c r="C5" t="inlineStr">
        <is>
          <t>10/09/2025 12:45:20</t>
        </is>
      </c>
      <c r="D5" t="inlineStr">
        <is>
          <t>85877-79-8</t>
        </is>
      </c>
      <c r="E5" t="inlineStr">
        <is>
          <t>619-574-4</t>
        </is>
      </c>
      <c r="F5" t="inlineStr">
        <is>
          <t>Nonafluorohexyl Trimethoxysilane</t>
        </is>
      </c>
      <c r="G5" t="n">
        <v>0</v>
      </c>
      <c r="H5" t="inlineStr">
        <is>
          <t>-</t>
        </is>
      </c>
      <c r="I5" t="inlineStr">
        <is>
          <t>Yes</t>
        </is>
      </c>
      <c r="J5" t="n">
        <v>3</v>
      </c>
      <c r="K5" s="4" t="inlineStr">
        <is>
          <t>https://chem.echa.europa.eu/100.121.477/self-classified</t>
        </is>
      </c>
      <c r="L5" t="inlineStr">
        <is>
          <t>Notified C&amp;L</t>
        </is>
      </c>
      <c r="M5" t="inlineStr">
        <is>
          <t>CLP Submission</t>
        </is>
      </c>
      <c r="N5" t="inlineStr">
        <is>
          <t>Aquatic Chronic 2</t>
        </is>
      </c>
      <c r="O5" t="inlineStr">
        <is>
          <t>H411</t>
        </is>
      </c>
      <c r="P5" t="inlineStr">
        <is>
          <t>-</t>
        </is>
      </c>
      <c r="Q5" t="inlineStr">
        <is>
          <t>H411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Acute: -; Chronic: -</t>
        </is>
      </c>
      <c r="V5" t="inlineStr">
        <is>
          <t>-</t>
        </is>
      </c>
      <c r="W5" t="inlineStr">
        <is>
          <t>No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No</t>
        </is>
      </c>
      <c r="AC5" t="inlineStr">
        <is>
          <t>-</t>
        </is>
      </c>
      <c r="AD5" t="inlineStr">
        <is>
          <t>-</t>
        </is>
      </c>
      <c r="AE5" t="inlineStr">
        <is>
          <t>No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No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No</t>
        </is>
      </c>
      <c r="AO5" t="inlineStr">
        <is>
          <t>-</t>
        </is>
      </c>
      <c r="AP5" t="inlineStr">
        <is>
          <t>No</t>
        </is>
      </c>
      <c r="AQ5" t="inlineStr">
        <is>
          <t>-</t>
        </is>
      </c>
      <c r="AR5" t="inlineStr">
        <is>
          <t>No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Yes</t>
        </is>
      </c>
      <c r="AW5" t="inlineStr">
        <is>
          <t>0</t>
        </is>
      </c>
      <c r="AX5" s="4" t="inlineStr">
        <is>
          <t>-</t>
        </is>
      </c>
      <c r="AY5" t="inlineStr">
        <is>
          <t>1</t>
        </is>
      </c>
      <c r="AZ5" s="4" t="inlineStr">
        <is>
          <t>https://echa.europa.eu/web/guest/information-on-chemicals/dossier-evaluation-status/-/dislist/substance/external/100.104.897</t>
        </is>
      </c>
      <c r="BA5" t="inlineStr">
        <is>
          <t>0</t>
        </is>
      </c>
      <c r="BB5" t="inlineStr">
        <is>
          <t>-</t>
        </is>
      </c>
      <c r="BC5" t="inlineStr">
        <is>
          <t>0</t>
        </is>
      </c>
      <c r="BD5" s="4" t="inlineStr">
        <is>
          <t>-</t>
        </is>
      </c>
      <c r="BE5" t="inlineStr">
        <is>
          <t>0</t>
        </is>
      </c>
      <c r="BF5" t="inlineStr">
        <is>
          <t>-</t>
        </is>
      </c>
      <c r="BG5" t="inlineStr">
        <is>
          <t>0</t>
        </is>
      </c>
      <c r="BH5" s="4" t="inlineStr">
        <is>
          <t>-</t>
        </is>
      </c>
      <c r="BI5" t="inlineStr">
        <is>
          <t>0</t>
        </is>
      </c>
      <c r="BJ5" t="inlineStr">
        <is>
          <t>-</t>
        </is>
      </c>
      <c r="BK5" t="inlineStr">
        <is>
          <t>No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</row>
    <row r="6">
      <c r="A6" t="n">
        <v>5</v>
      </c>
      <c r="B6" t="inlineStr">
        <is>
          <t>85877-79-8</t>
        </is>
      </c>
      <c r="C6" t="inlineStr">
        <is>
          <t>10/09/2025 12:45:20</t>
        </is>
      </c>
      <c r="D6" t="inlineStr">
        <is>
          <t>85877-79-8</t>
        </is>
      </c>
      <c r="E6" t="inlineStr">
        <is>
          <t>468-970-1</t>
        </is>
      </c>
      <c r="F6" t="inlineStr">
        <is>
          <t>((Perfluorobutyl)ethyl)trimethoxysilane</t>
        </is>
      </c>
      <c r="G6" t="n">
        <v>1</v>
      </c>
      <c r="H6" t="inlineStr">
        <is>
          <t>Ceased manufacture</t>
        </is>
      </c>
      <c r="I6" t="inlineStr">
        <is>
          <t>Yes</t>
        </is>
      </c>
      <c r="J6" t="n">
        <v>1</v>
      </c>
      <c r="K6" s="4" t="inlineStr">
        <is>
          <t>https://chem.echa.europa.eu/100.104.897/self-classified</t>
        </is>
      </c>
      <c r="L6" t="inlineStr">
        <is>
          <t>Notified C&amp;L</t>
        </is>
      </c>
      <c r="M6" t="inlineStr">
        <is>
          <t>REACH Individual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Acute: -; Chronic: -</t>
        </is>
      </c>
      <c r="V6" t="inlineStr">
        <is>
          <t>-</t>
        </is>
      </c>
      <c r="W6" t="inlineStr">
        <is>
          <t>No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No</t>
        </is>
      </c>
      <c r="AC6" t="inlineStr">
        <is>
          <t>-</t>
        </is>
      </c>
      <c r="AD6" t="inlineStr">
        <is>
          <t>-</t>
        </is>
      </c>
      <c r="AE6" t="inlineStr">
        <is>
          <t>No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No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No</t>
        </is>
      </c>
      <c r="AO6" t="inlineStr">
        <is>
          <t>-</t>
        </is>
      </c>
      <c r="AP6" t="inlineStr">
        <is>
          <t>No</t>
        </is>
      </c>
      <c r="AQ6" t="inlineStr">
        <is>
          <t>-</t>
        </is>
      </c>
      <c r="AR6" t="inlineStr">
        <is>
          <t>No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Yes</t>
        </is>
      </c>
      <c r="AW6" t="inlineStr">
        <is>
          <t>0</t>
        </is>
      </c>
      <c r="AX6" s="4" t="inlineStr">
        <is>
          <t>-</t>
        </is>
      </c>
      <c r="AY6" t="inlineStr">
        <is>
          <t>1</t>
        </is>
      </c>
      <c r="AZ6" s="4" t="inlineStr">
        <is>
          <t>https://echa.europa.eu/web/guest/information-on-chemicals/dossier-evaluation-status/-/dislist/substance/external/100.104.897</t>
        </is>
      </c>
      <c r="BA6" t="inlineStr">
        <is>
          <t>0</t>
        </is>
      </c>
      <c r="BB6" t="inlineStr">
        <is>
          <t>-</t>
        </is>
      </c>
      <c r="BC6" t="inlineStr">
        <is>
          <t>0</t>
        </is>
      </c>
      <c r="BD6" s="4" t="inlineStr">
        <is>
          <t>-</t>
        </is>
      </c>
      <c r="BE6" t="inlineStr">
        <is>
          <t>0</t>
        </is>
      </c>
      <c r="BF6" t="inlineStr">
        <is>
          <t>-</t>
        </is>
      </c>
      <c r="BG6" t="inlineStr">
        <is>
          <t>0</t>
        </is>
      </c>
      <c r="BH6" s="4" t="inlineStr">
        <is>
          <t>-</t>
        </is>
      </c>
      <c r="BI6" t="inlineStr">
        <is>
          <t>0</t>
        </is>
      </c>
      <c r="BJ6" t="inlineStr">
        <is>
          <t>-</t>
        </is>
      </c>
      <c r="BK6" t="inlineStr">
        <is>
          <t>No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85877-79-8</t>
        </is>
      </c>
      <c r="BP6" t="inlineStr">
        <is>
          <t>100.104.897</t>
        </is>
      </c>
      <c r="BQ6" t="inlineStr">
        <is>
          <t>Ceased manufacture</t>
        </is>
      </c>
      <c r="BR6" t="inlineStr">
        <is>
          <t>((Perfluorobutyl)ethyl)trimethoxysilane</t>
        </is>
      </c>
      <c r="BS6" t="inlineStr">
        <is>
          <t>468-970-1</t>
        </is>
      </c>
      <c r="BT6" t="inlineStr">
        <is>
          <t>85877-79-8</t>
        </is>
      </c>
      <c r="BU6" t="inlineStr">
        <is>
          <t>C9H13F9O3Si</t>
        </is>
      </c>
      <c r="BV6" t="inlineStr">
        <is>
          <t>InChI=1S/C9H13F9O3Si/c1-19-22(20-2,21-3)5-4-6(10,11)7(12,13)8(14,15)9(16,17)18/h4-5H2,1-3H3</t>
        </is>
      </c>
      <c r="BW6" t="inlineStr">
        <is>
          <t>341385</t>
        </is>
      </c>
      <c r="BZ6" t="inlineStr">
        <is>
          <t>{}</t>
        </is>
      </c>
      <c r="CA6" t="inlineStr">
        <is>
          <t>self</t>
        </is>
      </c>
      <c r="CB6" t="n">
        <v>0</v>
      </c>
      <c r="CC6" t="n">
        <v>1</v>
      </c>
      <c r="CD6" t="b">
        <v>0</v>
      </c>
      <c r="CE6" t="inlineStr">
        <is>
          <t>[]</t>
        </is>
      </c>
      <c r="CF6" t="inlineStr">
        <is>
          <t>[{'classificationId': '341385', 'rmlId': '100.104.897', 'notClassifiedOrNoGhs': 'No GHS data', 'displayOrder': 1, 'clpAnnexIComplianceFlag': True, 'status': 'Inactive', 'dataSource': 'REACH Individual', 'isProminentFlag': True, 'lastUpdateDate': '10-11-2008', 'substanceNotificationPercentage': 100}]</t>
        </is>
      </c>
      <c r="CG6" t="inlineStr">
        <is>
          <t>[]</t>
        </is>
      </c>
      <c r="CH6" t="inlineStr">
        <is>
          <t>{'items': []}</t>
        </is>
      </c>
      <c r="CI6" t="inlineStr">
        <is>
          <t>{'hazardClasses': '-', 'statements': '-', 'targetOrgsAndRoutes': '-', 'labelStatements': '-', 'scl': '-'}</t>
        </is>
      </c>
      <c r="CK6" t="inlineStr">
        <is>
          <t>No GHS data</t>
        </is>
      </c>
    </row>
    <row r="7">
      <c r="A7" t="n">
        <v>10</v>
      </c>
      <c r="B7" t="inlineStr">
        <is>
          <t>75-09-2</t>
        </is>
      </c>
      <c r="C7" t="inlineStr">
        <is>
          <t>10/09/2025 12:45:20</t>
        </is>
      </c>
      <c r="D7" t="inlineStr">
        <is>
          <t>75-09-2</t>
        </is>
      </c>
      <c r="E7" t="inlineStr">
        <is>
          <t>200-838-9</t>
        </is>
      </c>
      <c r="F7" t="inlineStr">
        <is>
          <t>dichloromethane; methylene chloride</t>
        </is>
      </c>
      <c r="G7" t="inlineStr">
        <is>
          <t>-</t>
        </is>
      </c>
      <c r="H7" t="inlineStr">
        <is>
          <t>100,000 - 1,000,000 tonnes</t>
        </is>
      </c>
      <c r="I7" t="inlineStr">
        <is>
          <t>Yes</t>
        </is>
      </c>
      <c r="J7" t="n">
        <v>19</v>
      </c>
      <c r="K7" s="4" t="inlineStr">
        <is>
          <t>https://chem.echa.europa.eu/100.000.763/harmonised</t>
        </is>
      </c>
      <c r="L7" t="inlineStr">
        <is>
          <t>Harmonised C&amp;L</t>
        </is>
      </c>
      <c r="M7" t="inlineStr">
        <is>
          <t>-</t>
        </is>
      </c>
      <c r="N7" t="inlineStr">
        <is>
          <t>Carc. 2</t>
        </is>
      </c>
      <c r="O7" t="inlineStr">
        <is>
          <t>H351</t>
        </is>
      </c>
      <c r="P7" t="inlineStr">
        <is>
          <t>-</t>
        </is>
      </c>
      <c r="Q7" t="inlineStr">
        <is>
          <t>H351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No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No</t>
        </is>
      </c>
      <c r="AC7" t="inlineStr">
        <is>
          <t>-</t>
        </is>
      </c>
      <c r="AD7" t="inlineStr">
        <is>
          <t>-</t>
        </is>
      </c>
      <c r="AE7" t="inlineStr">
        <is>
          <t>Yes</t>
        </is>
      </c>
      <c r="AF7" t="inlineStr">
        <is>
          <t>postponed</t>
        </is>
      </c>
      <c r="AG7" t="inlineStr">
        <is>
          <t>Concluded</t>
        </is>
      </c>
      <c r="AH7" t="inlineStr">
        <is>
          <t>Italy</t>
        </is>
      </c>
      <c r="AI7" t="inlineStr">
        <is>
          <t>03-Sep-2021</t>
        </is>
      </c>
      <c r="AJ7" t="inlineStr">
        <is>
          <t>No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No</t>
        </is>
      </c>
      <c r="AO7" t="inlineStr">
        <is>
          <t>-</t>
        </is>
      </c>
      <c r="AP7" t="inlineStr">
        <is>
          <t>No</t>
        </is>
      </c>
      <c r="AQ7" t="inlineStr">
        <is>
          <t>-</t>
        </is>
      </c>
      <c r="AR7" t="inlineStr">
        <is>
          <t>No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Yes</t>
        </is>
      </c>
      <c r="AW7" t="inlineStr">
        <is>
          <t>1</t>
        </is>
      </c>
      <c r="AX7" s="4" t="inlineStr">
        <is>
          <t>https://echa.europa.eu/web/guest/information-on-chemicals/evaluation/community-rolling-action-plan/corap-table/-/dislist/substance/external/100.000.763</t>
        </is>
      </c>
      <c r="AY7" t="inlineStr">
        <is>
          <t>5</t>
        </is>
      </c>
      <c r="AZ7" s="4" t="inlineStr">
        <is>
          <t>https://echa.europa.eu/web/guest/information-on-chemicals/dossier-evaluation-status/-/dislist/substance/external/100.000.763</t>
        </is>
      </c>
      <c r="BA7" t="inlineStr">
        <is>
          <t>1</t>
        </is>
      </c>
      <c r="BB7" t="inlineStr">
        <is>
          <t>https://echa.europa.eu/web/guest/ed-assessment/-/dislist/substance/external/100.000.763</t>
        </is>
      </c>
      <c r="BC7" t="inlineStr">
        <is>
          <t>0</t>
        </is>
      </c>
      <c r="BD7" s="4" t="inlineStr">
        <is>
          <t>-</t>
        </is>
      </c>
      <c r="BE7" t="inlineStr">
        <is>
          <t>0</t>
        </is>
      </c>
      <c r="BF7" t="inlineStr">
        <is>
          <t>-</t>
        </is>
      </c>
      <c r="BG7" t="inlineStr">
        <is>
          <t>1</t>
        </is>
      </c>
      <c r="BH7" s="4" t="inlineStr">
        <is>
          <t>https://echa.europa.eu/web/guest/registry-of-clh-intentions-until-outcome/-/dislist/substance/external/100.000.763</t>
        </is>
      </c>
      <c r="BI7" t="inlineStr">
        <is>
          <t>0</t>
        </is>
      </c>
      <c r="BJ7" t="inlineStr">
        <is>
          <t>-</t>
        </is>
      </c>
      <c r="BK7" t="inlineStr">
        <is>
          <t>Yes</t>
        </is>
      </c>
      <c r="BL7" t="inlineStr">
        <is>
          <t>Carcinogenic#Suspected Mutagenic#Suspected Reprotoxic#Potential endocrine disruptor#Suspected Sensitiser#High (aggregated) tonnage</t>
        </is>
      </c>
      <c r="BM7" t="inlineStr">
        <is>
          <t>Concluded</t>
        </is>
      </c>
      <c r="BN7" t="inlineStr">
        <is>
          <t>25-Aug-2021</t>
        </is>
      </c>
    </row>
    <row r="8">
      <c r="A8" t="n">
        <v>3</v>
      </c>
      <c r="B8" t="inlineStr">
        <is>
          <t>597-82-0</t>
        </is>
      </c>
      <c r="C8" t="inlineStr">
        <is>
          <t>10/09/2025 12:45:20</t>
        </is>
      </c>
      <c r="D8" t="inlineStr">
        <is>
          <t>597-82-0</t>
        </is>
      </c>
      <c r="E8" t="inlineStr">
        <is>
          <t>209-909-9</t>
        </is>
      </c>
      <c r="F8" t="inlineStr">
        <is>
          <t>O,O,O-triphenyl phosphorothioate</t>
        </is>
      </c>
      <c r="G8" t="inlineStr">
        <is>
          <t>-</t>
        </is>
      </c>
      <c r="H8" t="inlineStr">
        <is>
          <t>100 - 1,000 tonnes</t>
        </is>
      </c>
      <c r="I8" t="inlineStr">
        <is>
          <t>Yes</t>
        </is>
      </c>
      <c r="J8" t="n">
        <v>8</v>
      </c>
      <c r="K8" s="4" t="inlineStr">
        <is>
          <t>https://chem.echa.europa.eu/100.009.010/self-classified</t>
        </is>
      </c>
      <c r="L8" t="inlineStr">
        <is>
          <t>Notified C&amp;L</t>
        </is>
      </c>
      <c r="M8" t="inlineStr">
        <is>
          <t>REACH Joint</t>
        </is>
      </c>
      <c r="N8" t="inlineStr">
        <is>
          <t>Aquatic Chronic 1, PBT</t>
        </is>
      </c>
      <c r="O8" t="inlineStr">
        <is>
          <t>H410, EUH440</t>
        </is>
      </c>
      <c r="P8" t="inlineStr">
        <is>
          <t>-</t>
        </is>
      </c>
      <c r="Q8" t="inlineStr">
        <is>
          <t>H410, EUH440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Acute: -; Chronic: 10</t>
        </is>
      </c>
      <c r="V8" t="inlineStr">
        <is>
          <t>-</t>
        </is>
      </c>
      <c r="W8" t="inlineStr">
        <is>
          <t>No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No</t>
        </is>
      </c>
      <c r="AC8" t="inlineStr">
        <is>
          <t>-</t>
        </is>
      </c>
      <c r="AD8" t="inlineStr">
        <is>
          <t>-</t>
        </is>
      </c>
      <c r="AE8" t="inlineStr">
        <is>
          <t>No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Yes</t>
        </is>
      </c>
      <c r="AK8" t="inlineStr">
        <is>
          <t>PBT (Article 57d)</t>
        </is>
      </c>
      <c r="AL8" t="inlineStr">
        <is>
          <t>https://echa.europa.eu/documents/10162/dcdb37a7-9c5f-435a-68f8-637c3ba941aa</t>
        </is>
      </c>
      <c r="AM8" t="inlineStr">
        <is>
          <t>https://echa.europa.eu/documents/10162/a6c1c31e-06ff-7611-679a-6cdb078b7bcc</t>
        </is>
      </c>
      <c r="AN8" t="inlineStr">
        <is>
          <t>No</t>
        </is>
      </c>
      <c r="AO8" t="inlineStr">
        <is>
          <t>-</t>
        </is>
      </c>
      <c r="AP8" t="inlineStr">
        <is>
          <t>No</t>
        </is>
      </c>
      <c r="AQ8" t="inlineStr">
        <is>
          <t>-</t>
        </is>
      </c>
      <c r="AR8" t="inlineStr">
        <is>
          <t>Yes</t>
        </is>
      </c>
      <c r="AS8" t="inlineStr">
        <is>
          <t>Identified SVHC</t>
        </is>
      </c>
      <c r="AT8" t="inlineStr">
        <is>
          <t>PBT (Article 57d)</t>
        </is>
      </c>
      <c r="AU8" t="inlineStr">
        <is>
          <t>22-Jan-2025</t>
        </is>
      </c>
      <c r="AV8" t="inlineStr">
        <is>
          <t>Yes</t>
        </is>
      </c>
      <c r="AW8" t="inlineStr">
        <is>
          <t>1</t>
        </is>
      </c>
      <c r="AX8" s="4" t="inlineStr">
        <is>
          <t>https://echa.europa.eu/web/guest/information-on-chemicals/evaluation/community-rolling-action-plan/corap-table/-/dislist/substance/external/100.009.010</t>
        </is>
      </c>
      <c r="AY8" t="inlineStr">
        <is>
          <t>4</t>
        </is>
      </c>
      <c r="AZ8" s="4" t="inlineStr">
        <is>
          <t>https://echa.europa.eu/web/guest/information-on-chemicals/dossier-evaluation-status/-/dislist/substance/external/100.009.010</t>
        </is>
      </c>
      <c r="BA8" t="inlineStr">
        <is>
          <t>0</t>
        </is>
      </c>
      <c r="BB8" t="inlineStr">
        <is>
          <t>-</t>
        </is>
      </c>
      <c r="BC8" t="inlineStr">
        <is>
          <t>0</t>
        </is>
      </c>
      <c r="BD8" s="4" t="inlineStr">
        <is>
          <t>-</t>
        </is>
      </c>
      <c r="BE8" t="inlineStr">
        <is>
          <t>1</t>
        </is>
      </c>
      <c r="BF8" t="inlineStr">
        <is>
          <t>https://echa.europa.eu/web/guest/pbt/-/dislist/substance/external/100.009.010</t>
        </is>
      </c>
      <c r="BG8" t="inlineStr">
        <is>
          <t>0</t>
        </is>
      </c>
      <c r="BH8" s="4" t="inlineStr">
        <is>
          <t>-</t>
        </is>
      </c>
      <c r="BI8" t="inlineStr">
        <is>
          <t>1</t>
        </is>
      </c>
      <c r="BJ8" t="inlineStr">
        <is>
          <t>https://echa.europa.eu/web/guest/registry-of-svhc-intentions/-/dislist/substance/external/100.009.010</t>
        </is>
      </c>
      <c r="BK8" t="inlineStr">
        <is>
          <t>Yes</t>
        </is>
      </c>
      <c r="BL8" t="inlineStr">
        <is>
          <t>Suspected PBT/vPvB</t>
        </is>
      </c>
      <c r="BM8" t="inlineStr">
        <is>
          <t>Concluded</t>
        </is>
      </c>
      <c r="BN8" t="inlineStr">
        <is>
          <t>28-May-2025</t>
        </is>
      </c>
    </row>
    <row r="9">
      <c r="A9" t="n">
        <v>4</v>
      </c>
      <c r="B9" t="inlineStr">
        <is>
          <t>72963-72-5</t>
        </is>
      </c>
      <c r="C9" t="inlineStr">
        <is>
          <t>10/09/2025 12:45:20</t>
        </is>
      </c>
      <c r="D9" t="inlineStr">
        <is>
          <t>72963-72-5</t>
        </is>
      </c>
      <c r="E9" t="inlineStr">
        <is>
          <t>615-873-9</t>
        </is>
      </c>
      <c r="F9" t="inlineStr">
        <is>
          <t>Imiprothrin</t>
        </is>
      </c>
      <c r="G9" t="n">
        <v>0</v>
      </c>
      <c r="H9" t="inlineStr">
        <is>
          <t>-</t>
        </is>
      </c>
      <c r="I9" t="inlineStr">
        <is>
          <t>Yes</t>
        </is>
      </c>
      <c r="J9" t="n">
        <v>1</v>
      </c>
      <c r="K9" s="4" t="inlineStr">
        <is>
          <t>https://chem.echa.europa.eu/100.106.762/self-classified</t>
        </is>
      </c>
      <c r="L9" t="inlineStr">
        <is>
          <t>Notified C&amp;L</t>
        </is>
      </c>
      <c r="M9" t="inlineStr">
        <is>
          <t>CLP Submission</t>
        </is>
      </c>
      <c r="N9" t="inlineStr">
        <is>
          <t>Acute Tox. 4 (Oral), Aquatic Acute 1, Aquatic Chronic 1</t>
        </is>
      </c>
      <c r="O9" t="inlineStr">
        <is>
          <t>H302, H400, H410</t>
        </is>
      </c>
      <c r="P9" t="inlineStr">
        <is>
          <t>-</t>
        </is>
      </c>
      <c r="Q9" t="inlineStr">
        <is>
          <t>H302, H410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Acute: -; Chronic: -</t>
        </is>
      </c>
      <c r="V9" t="inlineStr">
        <is>
          <t>-</t>
        </is>
      </c>
      <c r="W9" t="inlineStr">
        <is>
          <t>No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No</t>
        </is>
      </c>
      <c r="AE9" t="inlineStr">
        <is>
          <t>No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No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No</t>
        </is>
      </c>
      <c r="AO9" t="inlineStr">
        <is>
          <t>-</t>
        </is>
      </c>
      <c r="AP9" t="inlineStr">
        <is>
          <t>No</t>
        </is>
      </c>
      <c r="AQ9" t="inlineStr">
        <is>
          <t>-</t>
        </is>
      </c>
      <c r="AR9" t="inlineStr">
        <is>
          <t>No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Yes</t>
        </is>
      </c>
      <c r="AW9" t="inlineStr">
        <is>
          <t>0</t>
        </is>
      </c>
      <c r="AX9" s="4" t="inlineStr">
        <is>
          <t>-</t>
        </is>
      </c>
      <c r="AY9" t="inlineStr">
        <is>
          <t>0</t>
        </is>
      </c>
      <c r="AZ9" s="4" t="inlineStr">
        <is>
          <t>-</t>
        </is>
      </c>
      <c r="BA9" t="inlineStr">
        <is>
          <t>0</t>
        </is>
      </c>
      <c r="BB9" t="inlineStr">
        <is>
          <t>-</t>
        </is>
      </c>
      <c r="BC9" t="inlineStr">
        <is>
          <t>0</t>
        </is>
      </c>
      <c r="BD9" s="4" t="inlineStr">
        <is>
          <t>-</t>
        </is>
      </c>
      <c r="BE9" t="inlineStr">
        <is>
          <t>0</t>
        </is>
      </c>
      <c r="BF9" t="inlineStr">
        <is>
          <t>-</t>
        </is>
      </c>
      <c r="BG9" t="inlineStr">
        <is>
          <t>1</t>
        </is>
      </c>
      <c r="BH9" s="4" t="inlineStr">
        <is>
          <t>https://echa.europa.eu/web/guest/registry-of-clh-intentions-until-outcome/-/dislist/substance/external/100.102.716</t>
        </is>
      </c>
      <c r="BI9" t="inlineStr">
        <is>
          <t>0</t>
        </is>
      </c>
      <c r="BJ9" t="inlineStr">
        <is>
          <t>-</t>
        </is>
      </c>
      <c r="BK9" t="inlineStr">
        <is>
          <t>No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</row>
    <row r="10">
      <c r="A10" t="n">
        <v>4</v>
      </c>
      <c r="B10" t="inlineStr">
        <is>
          <t>72963-72-5</t>
        </is>
      </c>
      <c r="C10" t="inlineStr">
        <is>
          <t>10/09/2025 12:45:20</t>
        </is>
      </c>
      <c r="D10" t="inlineStr">
        <is>
          <t>72963-72-5</t>
        </is>
      </c>
      <c r="E10" t="inlineStr">
        <is>
          <t>428-790-6</t>
        </is>
      </c>
      <c r="F10" t="inlineStr">
        <is>
          <t>imiprothrin (ISO); reaction mass of [2,5-dioxo-3-(prop-2-yn-1-yl)imidazolidin-1-yl]methyl (1R,3S)-2,2-dimethyl-3-(2-methylprop-1-en-1-yl)cyclopropanecarboxylate and [2,5-dioxo-3-(prop-2-yn-1-yl)imidazolidin-1-yl]methyl (1R,3R)-2,2-dimethyl-3-(2-methylprop-1-en-1-yl)cyclopropanecarboxylate</t>
        </is>
      </c>
      <c r="G10" t="n">
        <v>1</v>
      </c>
      <c r="H10" t="inlineStr">
        <is>
          <t>1 - 10 tonnes</t>
        </is>
      </c>
      <c r="I10" t="inlineStr">
        <is>
          <t>Yes</t>
        </is>
      </c>
      <c r="J10" t="n">
        <v>3</v>
      </c>
      <c r="K10" s="4" t="inlineStr">
        <is>
          <t>https://chem.echa.europa.eu/100.102.716/harmonised</t>
        </is>
      </c>
      <c r="L10" t="inlineStr">
        <is>
          <t>Harmonised C&amp;L</t>
        </is>
      </c>
      <c r="M10" t="inlineStr">
        <is>
          <t>-</t>
        </is>
      </c>
      <c r="N10" t="inlineStr">
        <is>
          <t>Carc. 2, Acute Tox. 4 (Inhalation), Acute Tox. 4 (Oral), STOT SE 2, Aquatic Acute 1, Aquatic Chronic 1</t>
        </is>
      </c>
      <c r="O10" t="inlineStr">
        <is>
          <t>H351, H332, H302, H371, H400, H410</t>
        </is>
      </c>
      <c r="P10" t="inlineStr">
        <is>
          <t>-</t>
        </is>
      </c>
      <c r="Q10" t="inlineStr">
        <is>
          <t>H351, H332, H302, H371, H410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Acute: 10; Chronic: 10</t>
        </is>
      </c>
      <c r="V10" t="inlineStr">
        <is>
          <t>-</t>
        </is>
      </c>
      <c r="W10" t="inlineStr">
        <is>
          <t>No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No</t>
        </is>
      </c>
      <c r="AE10" t="inlineStr">
        <is>
          <t>No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No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No</t>
        </is>
      </c>
      <c r="AO10" t="inlineStr">
        <is>
          <t>-</t>
        </is>
      </c>
      <c r="AP10" t="inlineStr">
        <is>
          <t>No</t>
        </is>
      </c>
      <c r="AQ10" t="inlineStr">
        <is>
          <t>-</t>
        </is>
      </c>
      <c r="AR10" t="inlineStr">
        <is>
          <t>No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Yes</t>
        </is>
      </c>
      <c r="AW10" t="inlineStr">
        <is>
          <t>0</t>
        </is>
      </c>
      <c r="AX10" s="4" t="inlineStr">
        <is>
          <t>-</t>
        </is>
      </c>
      <c r="AY10" t="inlineStr">
        <is>
          <t>0</t>
        </is>
      </c>
      <c r="AZ10" s="4" t="inlineStr">
        <is>
          <t>-</t>
        </is>
      </c>
      <c r="BA10" t="inlineStr">
        <is>
          <t>0</t>
        </is>
      </c>
      <c r="BB10" t="inlineStr">
        <is>
          <t>-</t>
        </is>
      </c>
      <c r="BC10" t="inlineStr">
        <is>
          <t>0</t>
        </is>
      </c>
      <c r="BD10" s="4" t="inlineStr">
        <is>
          <t>-</t>
        </is>
      </c>
      <c r="BE10" t="inlineStr">
        <is>
          <t>0</t>
        </is>
      </c>
      <c r="BF10" t="inlineStr">
        <is>
          <t>-</t>
        </is>
      </c>
      <c r="BG10" t="inlineStr">
        <is>
          <t>1</t>
        </is>
      </c>
      <c r="BH10" s="4" t="inlineStr">
        <is>
          <t>https://echa.europa.eu/web/guest/registry-of-clh-intentions-until-outcome/-/dislist/substance/external/100.102.716</t>
        </is>
      </c>
      <c r="BI10" t="inlineStr">
        <is>
          <t>0</t>
        </is>
      </c>
      <c r="BJ10" t="inlineStr">
        <is>
          <t>-</t>
        </is>
      </c>
      <c r="BK10" t="inlineStr">
        <is>
          <t>No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72963-72-5</t>
        </is>
      </c>
      <c r="BP10" t="inlineStr">
        <is>
          <t>100.102.716</t>
        </is>
      </c>
      <c r="BQ10" t="inlineStr">
        <is>
          <t>1 - 10 tonnes</t>
        </is>
      </c>
      <c r="BR10" t="inlineStr">
        <is>
          <t>imiprothrin (ISO); reaction mass of [2,5-dioxo-3-(prop-2-yn-1-yl)imidazolidin-1-yl]methyl (1R,3S)-2,2-dimethyl-3-(2-methylprop-1-en-1-yl)cyclopropanecarboxylate and [2,5-dioxo-3-(prop-2-yn-1-yl)imidazolidin-1-yl]methyl (1R,3R)-2,2-dimethyl-3-(2-methylprop-1-en-1-yl)cyclopropanecarboxylate</t>
        </is>
      </c>
      <c r="BS10" t="inlineStr">
        <is>
          <t>428-790-6</t>
        </is>
      </c>
      <c r="BT10" t="inlineStr">
        <is>
          <t>72963-72-5</t>
        </is>
      </c>
      <c r="BW10" t="inlineStr">
        <is>
          <t>441673</t>
        </is>
      </c>
      <c r="BX10" t="inlineStr">
        <is>
          <t>ATP15</t>
        </is>
      </c>
      <c r="BY10" t="inlineStr">
        <is>
          <t>imiprothrin (ISO); reaction mass of: [2,4-dioxo-(2-propyn-1-yl)imidazolidin-3-yl]methyl(1R)-cis-chrysanthemate; [2,4-dioxo-(2-propyn-1-yl)imidazolidin-3-yl]methyl(1R)-trans-chrysanthemate</t>
        </is>
      </c>
      <c r="BZ10" t="inlineStr">
        <is>
          <t>{'signalWordCode': 'Wng', 'signalWordText': 'Warning'}</t>
        </is>
      </c>
      <c r="CA10" t="inlineStr">
        <is>
          <t>harmonised</t>
        </is>
      </c>
      <c r="CB10" t="n">
        <v>1</v>
      </c>
      <c r="CC10" t="n">
        <v>3</v>
      </c>
      <c r="CD10" t="b">
        <v>1</v>
      </c>
      <c r="CE10" t="inlineStr">
        <is>
          <t>[{'classificationId': '441673', 'rmlId': '100.102.716', 'displayOrder': 2704, 'classifiedHazardId': '875033', 'hazardClassAndCategoryCode': 'Carc. 2', 'hazardStatements': [{'hazardStatementCode': 'H351', 'hazardStatementText': 'Suspected of causing cancer &lt;state route of exposure if it is conclusively proven that no other routes of exposure cause the hazard&gt;.'}], 'targetOrganGroups': [], 'routeExposureGroups': []}, {'classificationId': '441673', 'rmlId': '100.102.716', 'displayOrder': 3103, 'classifiedHazardId': '1694268', 'hazardClassAndCategoryCode': 'Acute Tox. 4 (Inhalation)', 'hazardStatements': [{'hazardStatementCode': 'H332', 'hazardStatementText': 'Harmful if inhaled.'}], 'targetOrganGroups': [], 'routeExposureGroups': []}, {'classificationId': '441673', 'rmlId': '100.102.716', 'displayOrder': 3163, 'classifiedHazardId': '897726', 'hazardClassAndCategoryCode': 'Acute Tox. 4 (Oral)', 'hazardStatements': [{'hazardStatementCode': 'H302', 'hazardStatementText': 'Harmful if swallowed.'}], 'targetOrganGroups': [], 'routeExposureGroups': []}, {'classificationId': '441673', 'rmlId': '100.102.716', 'displayOrder': 3303, 'classifiedHazardId': '1692793', 'hazardClassAndCategoryCode': 'STOT SE 2', 'hazardStatements': [{'hazardStatementCode': 'H371', 'hazardStatementText': 'May cause damage to organs\xa0&lt;or state all organs affected, if known&gt; &lt;state route of exposure if it is conclusively proven that no other routes of exposure cause the hazard&gt;.'}], 'targetOrganGroups': [{'targetOrganGroupId': '3080292', 'targetOrgans': [{'targetOrganGroupId': '3080292', 'targetOrganSystem': 'nervous system', 'targetOrganDisplayOrder': 1}]}], 'routeExposureGroups': [{'routeExposureGroupId': '3109767', 'routeExposures': [{'routeExposureGroupId': '3109767', 'routeOfExposure': 'inhalation', 'routeExposureDisplayOrder': 10}, {'routeExposureGroupId': '3109767', 'routeOfExposure': 'oral', 'routeExposureDisplayOrder': 30}]}]}, {'classificationId': '441673', 'rmlId': '100.102.716', 'displayOrder': 4200, 'classifiedHazardId': '1695003', 'hazardClassAndCategoryCode': 'Aquatic Acute 1', 'hazardStatements': [{'hazardStatementCode': 'H400', 'hazardStatementText': 'Very toxic to aquatic life.'}], 'targetOrganGroups': [], 'routeExposureGroups': []}, {'classificationId': '441673', 'rmlId': '100.102.716', 'displayOrder': 4300, 'classifiedHazardId': '5721663', 'hazardClassAndCategoryCode': 'Aquatic Chronic 1', 'hazardStatements': [{'hazardStatementCode': 'H410', 'hazardStatementText': 'Very toxic to aquatic life with long lasting effects.'}], 'targetOrganGroups': [], 'routeExposureGroups': []}]</t>
        </is>
      </c>
      <c r="CF10" t="inlineStr">
        <is>
          <t>[{'classificationId': '441674', 'rmlId': '100.102.716', 'displayOrder': 1, 'clpAnnexIComplianceFlag': True, 'status': 'Active', 'dataSource': 'REACH Joint', 'isProminentFlag': False, 'lastUpdateDate': '01-10-2024', 'substanceNotificationPercentage': 28}, {'classificationId': '441676', 'rmlId': '100.102.716', 'notClassifiedOrNoGhs': 'No GHS data', 'displayOrder': 2, 'clpAnnexIComplianceFlag': True, 'status': 'No longer valid', 'dataSource': 'REACH Individual', 'isProminentFlag': False, 'lastUpdateDate': '10-11-2008', 'substanceNotificationPercentage': 2}, {'classificationId': '441675', 'rmlId': '100.102.716', 'displayOrder': 3, 'clpAnnexIComplianceFlag': True, 'status': 'Active', 'dataSource': 'CLP Submission', 'isProminentFlag': False, 'lastUpdateDate': '07-02-2019', 'substanceNotificationPercentage': 70}]</t>
        </is>
      </c>
      <c r="CG10" t="inlineStr">
        <is>
          <t>[{'classificationId': '441673', 'rmlId': '100.102.716', 'labellingHazardStatementId': '3655789', 'displayOrder': 1, 'signalWord': {'signalWordCode': 'Wng', 'signalWordText': 'Warning'}, 'hazardStatement': {'hazardStatementCode': 'H351', 'hazardStatementText': 'Suspected of causing cancer &lt;state route of exposure if it is conclusively proven that no other routes of exposure cause the hazard&gt;.'}, 'targetOrgans': [], 'routeExposures': []}, {'classificationId': '441673', 'rmlId': '100.102.716', 'labellingHazardStatementId': '3655788', 'displayOrder': 2, 'signalWord': {'signalWordCode': 'Wng', 'signalWordText': 'Warning'}, 'hazardStatement': {'hazardStatementCode': 'H332', 'hazardStatementText': 'Harmful if inhaled.'}, 'targetOrgans': [], 'routeExposures': []}, {'classificationId': '441673', 'rmlId': '100.102.716', 'labellingHazardStatementId': '3655787', 'displayOrder': 3, 'signalWord': {'signalWordCode': 'Wng', 'signalWordText': 'Warning'}, 'hazardStatement': {'hazardStatementCode': 'H302', 'hazardStatementText': 'Harmful if swallowed.'}, 'targetOrgans': [], 'routeExposures': []}, {'classificationId': '441673', 'rmlId': '100.102.716', 'labellingHazardStatementId': '3655786', 'displayOrder': 4, 'signalWord': {'signalWordCode': 'Wng', 'signalWordText': 'Warning'}, 'hazardStatement': {'hazardStatementCode': 'H371', 'hazardStatementText': 'May cause damage to organs\xa0&lt;or state all organs affected, if known&gt; &lt;state route of exposure if it is conclusively proven that no other routes of exposure cause the hazard&gt;.'}, 'targetOrgans': [{'targetOrganGroupId': '4559550', 'targetOrganSystem': 'nervous system', 'targetOrganDisplayOrder': 1}], 'routeExposures': [{'routeExposureGroupId': '3630517', 'routeOfExposure': 'inhalation', 'routeExposureDisplayOrder': 10}, {'routeExposureGroupId': '3630518', 'routeOfExposure': 'oral', 'routeExposureDisplayOrder': 30}]}, {'classificationId': '441673', 'rmlId': '100.102.716', 'labellingHazardStatementId': '3655785', 'displayOrder': 5, 'signalWord': {'signalWordCode': 'Wng', 'signalWordText': 'Warning'}, 'hazardStatement': {'hazardStatementCode': 'H410', 'hazardStatementText': 'Very toxic to aquatic life with long lasting effects.'}, 'targetOrgans': [], 'routeExposures': []}]</t>
        </is>
      </c>
      <c r="CH10" t="inlineStr">
        <is>
          <t>{'classificationId': '441673', 'mfactorAcute': 10, 'mfactorChronic': 10}</t>
        </is>
      </c>
      <c r="CI10" t="inlineStr">
        <is>
          <t>{'hazardClasses': 'Carc. 2, Acute Tox. 4 (Inhalation), Acute Tox. 4 (Oral), STOT SE 2, Aquatic Acute 1, Aquatic Chronic 1', 'statements': 'H351, H332, H302, H371, H400, H410', 'targetOrgsAndRoutes': '-', 'labelStatements': 'H351, H332, H302, H371, H410', 'scl': '-'}</t>
        </is>
      </c>
      <c r="CJ10" t="inlineStr">
        <is>
          <t>[]</t>
        </is>
      </c>
    </row>
    <row r="11">
      <c r="A11" t="n">
        <v>2</v>
      </c>
      <c r="B11" t="inlineStr">
        <is>
          <t>1195-32-0</t>
        </is>
      </c>
      <c r="C11" t="inlineStr">
        <is>
          <t>10/09/2025 12:45:20</t>
        </is>
      </c>
      <c r="D11" t="inlineStr">
        <is>
          <t>1195-32-0</t>
        </is>
      </c>
      <c r="E11" t="inlineStr">
        <is>
          <t>214-795-9</t>
        </is>
      </c>
      <c r="F11" t="inlineStr">
        <is>
          <t>p,α-dimethylstyrene</t>
        </is>
      </c>
      <c r="G11" t="inlineStr">
        <is>
          <t>-</t>
        </is>
      </c>
      <c r="H11" t="inlineStr">
        <is>
          <t>-</t>
        </is>
      </c>
      <c r="I11" t="inlineStr">
        <is>
          <t>Yes</t>
        </is>
      </c>
      <c r="J11" t="n">
        <v>6</v>
      </c>
      <c r="K11" s="4" t="inlineStr">
        <is>
          <t>https://chem.echa.europa.eu/100.013.451/self-classified</t>
        </is>
      </c>
      <c r="L11" t="inlineStr">
        <is>
          <t>Notified C&amp;L</t>
        </is>
      </c>
      <c r="M11" t="inlineStr">
        <is>
          <t>CLP Submission</t>
        </is>
      </c>
      <c r="N11" t="inlineStr">
        <is>
          <t>Asp. Tox. 1</t>
        </is>
      </c>
      <c r="O11" t="inlineStr">
        <is>
          <t>H304</t>
        </is>
      </c>
      <c r="P11" t="inlineStr">
        <is>
          <t>-</t>
        </is>
      </c>
      <c r="Q11" t="inlineStr">
        <is>
          <t>H304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Acute: -; Chronic: -</t>
        </is>
      </c>
      <c r="V11" t="inlineStr">
        <is>
          <t>-</t>
        </is>
      </c>
      <c r="W11" t="inlineStr">
        <is>
          <t>No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No</t>
        </is>
      </c>
      <c r="AC11" t="inlineStr">
        <is>
          <t>-</t>
        </is>
      </c>
      <c r="AD11" t="inlineStr">
        <is>
          <t>-</t>
        </is>
      </c>
      <c r="AE11" t="inlineStr">
        <is>
          <t>No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No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No</t>
        </is>
      </c>
      <c r="AO11" t="inlineStr">
        <is>
          <t>-</t>
        </is>
      </c>
      <c r="AP11" t="inlineStr">
        <is>
          <t>Yes</t>
        </is>
      </c>
      <c r="AQ11" t="inlineStr">
        <is>
          <t>FL 01.010</t>
        </is>
      </c>
      <c r="AR11" t="inlineStr">
        <is>
          <t>No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Yes</t>
        </is>
      </c>
      <c r="AW11" t="inlineStr">
        <is>
          <t>0</t>
        </is>
      </c>
      <c r="AX11" s="4" t="inlineStr">
        <is>
          <t>-</t>
        </is>
      </c>
      <c r="AY11" t="inlineStr">
        <is>
          <t>0</t>
        </is>
      </c>
      <c r="AZ11" s="4" t="inlineStr">
        <is>
          <t>-</t>
        </is>
      </c>
      <c r="BA11" t="inlineStr">
        <is>
          <t>0</t>
        </is>
      </c>
      <c r="BB11" t="inlineStr">
        <is>
          <t>-</t>
        </is>
      </c>
      <c r="BC11" t="inlineStr">
        <is>
          <t>1</t>
        </is>
      </c>
      <c r="BD11" s="4" t="inlineStr">
        <is>
          <t>https://echa.europa.eu/web/guest/assessment-regulatory-needs/-/dislist/substance/external/100.013.451</t>
        </is>
      </c>
      <c r="BE11" t="inlineStr">
        <is>
          <t>0</t>
        </is>
      </c>
      <c r="BF11" t="inlineStr">
        <is>
          <t>-</t>
        </is>
      </c>
      <c r="BG11" t="inlineStr">
        <is>
          <t>0</t>
        </is>
      </c>
      <c r="BH11" s="4" t="inlineStr">
        <is>
          <t>-</t>
        </is>
      </c>
      <c r="BI11" t="inlineStr">
        <is>
          <t>0</t>
        </is>
      </c>
      <c r="BJ11" t="inlineStr">
        <is>
          <t>-</t>
        </is>
      </c>
      <c r="BK11" t="inlineStr">
        <is>
          <t>No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</row>
    <row r="12">
      <c r="A12" t="n">
        <v>6</v>
      </c>
      <c r="B12" t="inlineStr">
        <is>
          <t>413615-35-7</t>
        </is>
      </c>
      <c r="C12" t="inlineStr">
        <is>
          <t>10/09/2025 12:45:20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No</t>
        </is>
      </c>
      <c r="J12" t="inlineStr">
        <is>
          <t>-</t>
        </is>
      </c>
      <c r="K12" s="4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Not found on C&amp;L</t>
        </is>
      </c>
      <c r="O12" t="inlineStr">
        <is>
          <t>Not found on C&amp;L</t>
        </is>
      </c>
      <c r="P12" t="inlineStr">
        <is>
          <t>-</t>
        </is>
      </c>
      <c r="Q12" t="inlineStr">
        <is>
          <t>Not found on C&amp;L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Yes</t>
        </is>
      </c>
      <c r="X12" t="inlineStr">
        <is>
          <t>Finalised</t>
        </is>
      </c>
      <c r="Y12" t="inlineStr">
        <is>
          <t>ED</t>
        </is>
      </c>
      <c r="Z12" t="inlineStr">
        <is>
          <t>A conclusion could not be drawn</t>
        </is>
      </c>
      <c r="AA12" t="inlineStr">
        <is>
          <t>https://www.efsa.europa.eu/en/efsajournal/pub/6833</t>
        </is>
      </c>
      <c r="AB12" t="inlineStr">
        <is>
          <t>No</t>
        </is>
      </c>
      <c r="AC12" t="inlineStr">
        <is>
          <t>-</t>
        </is>
      </c>
      <c r="AD12" t="inlineStr">
        <is>
          <t>-</t>
        </is>
      </c>
      <c r="AE12" t="inlineStr">
        <is>
          <t>No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No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No</t>
        </is>
      </c>
      <c r="AO12" t="inlineStr">
        <is>
          <t>-</t>
        </is>
      </c>
      <c r="AP12" t="inlineStr">
        <is>
          <t>No</t>
        </is>
      </c>
      <c r="AQ12" t="inlineStr">
        <is>
          <t>-</t>
        </is>
      </c>
      <c r="AR12" t="inlineStr">
        <is>
          <t>No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No</t>
        </is>
      </c>
      <c r="AW12" t="inlineStr">
        <is>
          <t>-</t>
        </is>
      </c>
      <c r="AX12" s="4" t="inlineStr">
        <is>
          <t>-</t>
        </is>
      </c>
      <c r="AY12" t="inlineStr">
        <is>
          <t>-</t>
        </is>
      </c>
      <c r="AZ12" s="4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s="4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s="4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No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</row>
    <row r="13">
      <c r="A13" t="n">
        <v>9</v>
      </c>
      <c r="B13" t="inlineStr">
        <is>
          <t>215-724-4</t>
        </is>
      </c>
      <c r="C13" t="inlineStr">
        <is>
          <t>10/09/2025 12:45:20</t>
        </is>
      </c>
      <c r="E13" t="inlineStr">
        <is>
          <t>215-724-4</t>
        </is>
      </c>
      <c r="F13" t="inlineStr">
        <is>
          <t>Carmine</t>
        </is>
      </c>
      <c r="G13" t="inlineStr">
        <is>
          <t>-</t>
        </is>
      </c>
      <c r="H13" t="inlineStr">
        <is>
          <t>1 - 10 tonnes</t>
        </is>
      </c>
      <c r="I13" t="inlineStr">
        <is>
          <t>Yes</t>
        </is>
      </c>
      <c r="J13" t="n">
        <v>1</v>
      </c>
      <c r="K13" s="4" t="inlineStr">
        <is>
          <t>https://chem.echa.europa.eu/100.014.295/self-classified</t>
        </is>
      </c>
      <c r="L13" t="inlineStr">
        <is>
          <t>Notified C&amp;L</t>
        </is>
      </c>
      <c r="M13" t="inlineStr">
        <is>
          <t>REACH Joint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Acute: -; Chronic: -</t>
        </is>
      </c>
      <c r="V13" t="inlineStr">
        <is>
          <t>-</t>
        </is>
      </c>
      <c r="W13" t="inlineStr">
        <is>
          <t>No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No</t>
        </is>
      </c>
      <c r="AC13" t="inlineStr">
        <is>
          <t>-</t>
        </is>
      </c>
      <c r="AD13" t="inlineStr">
        <is>
          <t>-</t>
        </is>
      </c>
      <c r="AE13" t="inlineStr">
        <is>
          <t>No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No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Yes</t>
        </is>
      </c>
      <c r="AO13" t="inlineStr">
        <is>
          <t>E120</t>
        </is>
      </c>
      <c r="AP13" t="inlineStr">
        <is>
          <t>No</t>
        </is>
      </c>
      <c r="AQ13" t="inlineStr">
        <is>
          <t>-</t>
        </is>
      </c>
      <c r="AR13" t="inlineStr">
        <is>
          <t>No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No</t>
        </is>
      </c>
      <c r="AW13" t="inlineStr">
        <is>
          <t>-</t>
        </is>
      </c>
      <c r="AX13" s="4" t="inlineStr">
        <is>
          <t>-</t>
        </is>
      </c>
      <c r="AY13" t="inlineStr">
        <is>
          <t>-</t>
        </is>
      </c>
      <c r="AZ13" s="4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s="4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s="4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No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AX2" r:id="rId2"/>
    <hyperlink xmlns:r="http://schemas.openxmlformats.org/officeDocument/2006/relationships" ref="AZ2" r:id="rId3"/>
    <hyperlink xmlns:r="http://schemas.openxmlformats.org/officeDocument/2006/relationships" ref="BD2" r:id="rId4"/>
    <hyperlink xmlns:r="http://schemas.openxmlformats.org/officeDocument/2006/relationships" ref="BH2" r:id="rId5"/>
    <hyperlink xmlns:r="http://schemas.openxmlformats.org/officeDocument/2006/relationships" ref="K3" r:id="rId6"/>
    <hyperlink xmlns:r="http://schemas.openxmlformats.org/officeDocument/2006/relationships" ref="AX3" r:id="rId7"/>
    <hyperlink xmlns:r="http://schemas.openxmlformats.org/officeDocument/2006/relationships" ref="AZ3" r:id="rId8"/>
    <hyperlink xmlns:r="http://schemas.openxmlformats.org/officeDocument/2006/relationships" ref="BD3" r:id="rId9"/>
    <hyperlink xmlns:r="http://schemas.openxmlformats.org/officeDocument/2006/relationships" ref="BH3" r:id="rId10"/>
    <hyperlink xmlns:r="http://schemas.openxmlformats.org/officeDocument/2006/relationships" ref="K4" r:id="rId11"/>
    <hyperlink xmlns:r="http://schemas.openxmlformats.org/officeDocument/2006/relationships" ref="AX4" r:id="rId12"/>
    <hyperlink xmlns:r="http://schemas.openxmlformats.org/officeDocument/2006/relationships" ref="AZ4" r:id="rId13"/>
    <hyperlink xmlns:r="http://schemas.openxmlformats.org/officeDocument/2006/relationships" ref="BD4" r:id="rId14"/>
    <hyperlink xmlns:r="http://schemas.openxmlformats.org/officeDocument/2006/relationships" ref="BH4" r:id="rId15"/>
    <hyperlink xmlns:r="http://schemas.openxmlformats.org/officeDocument/2006/relationships" ref="K5" r:id="rId16"/>
    <hyperlink xmlns:r="http://schemas.openxmlformats.org/officeDocument/2006/relationships" ref="AX5" r:id="rId17"/>
    <hyperlink xmlns:r="http://schemas.openxmlformats.org/officeDocument/2006/relationships" ref="AZ5" r:id="rId18"/>
    <hyperlink xmlns:r="http://schemas.openxmlformats.org/officeDocument/2006/relationships" ref="BD5" r:id="rId19"/>
    <hyperlink xmlns:r="http://schemas.openxmlformats.org/officeDocument/2006/relationships" ref="BH5" r:id="rId20"/>
    <hyperlink xmlns:r="http://schemas.openxmlformats.org/officeDocument/2006/relationships" ref="K6" r:id="rId21"/>
    <hyperlink xmlns:r="http://schemas.openxmlformats.org/officeDocument/2006/relationships" ref="AX6" r:id="rId22"/>
    <hyperlink xmlns:r="http://schemas.openxmlformats.org/officeDocument/2006/relationships" ref="AZ6" r:id="rId23"/>
    <hyperlink xmlns:r="http://schemas.openxmlformats.org/officeDocument/2006/relationships" ref="BD6" r:id="rId24"/>
    <hyperlink xmlns:r="http://schemas.openxmlformats.org/officeDocument/2006/relationships" ref="BH6" r:id="rId25"/>
    <hyperlink xmlns:r="http://schemas.openxmlformats.org/officeDocument/2006/relationships" ref="K7" r:id="rId26"/>
    <hyperlink xmlns:r="http://schemas.openxmlformats.org/officeDocument/2006/relationships" ref="AX7" r:id="rId27"/>
    <hyperlink xmlns:r="http://schemas.openxmlformats.org/officeDocument/2006/relationships" ref="AZ7" r:id="rId28"/>
    <hyperlink xmlns:r="http://schemas.openxmlformats.org/officeDocument/2006/relationships" ref="BD7" r:id="rId29"/>
    <hyperlink xmlns:r="http://schemas.openxmlformats.org/officeDocument/2006/relationships" ref="BH7" r:id="rId30"/>
    <hyperlink xmlns:r="http://schemas.openxmlformats.org/officeDocument/2006/relationships" ref="K8" r:id="rId31"/>
    <hyperlink xmlns:r="http://schemas.openxmlformats.org/officeDocument/2006/relationships" ref="AX8" r:id="rId32"/>
    <hyperlink xmlns:r="http://schemas.openxmlformats.org/officeDocument/2006/relationships" ref="AZ8" r:id="rId33"/>
    <hyperlink xmlns:r="http://schemas.openxmlformats.org/officeDocument/2006/relationships" ref="BD8" r:id="rId34"/>
    <hyperlink xmlns:r="http://schemas.openxmlformats.org/officeDocument/2006/relationships" ref="BH8" r:id="rId35"/>
    <hyperlink xmlns:r="http://schemas.openxmlformats.org/officeDocument/2006/relationships" ref="K9" r:id="rId36"/>
    <hyperlink xmlns:r="http://schemas.openxmlformats.org/officeDocument/2006/relationships" ref="AX9" r:id="rId37"/>
    <hyperlink xmlns:r="http://schemas.openxmlformats.org/officeDocument/2006/relationships" ref="AZ9" r:id="rId38"/>
    <hyperlink xmlns:r="http://schemas.openxmlformats.org/officeDocument/2006/relationships" ref="BD9" r:id="rId39"/>
    <hyperlink xmlns:r="http://schemas.openxmlformats.org/officeDocument/2006/relationships" ref="BH9" r:id="rId40"/>
    <hyperlink xmlns:r="http://schemas.openxmlformats.org/officeDocument/2006/relationships" ref="K10" r:id="rId41"/>
    <hyperlink xmlns:r="http://schemas.openxmlformats.org/officeDocument/2006/relationships" ref="AX10" r:id="rId42"/>
    <hyperlink xmlns:r="http://schemas.openxmlformats.org/officeDocument/2006/relationships" ref="AZ10" r:id="rId43"/>
    <hyperlink xmlns:r="http://schemas.openxmlformats.org/officeDocument/2006/relationships" ref="BD10" r:id="rId44"/>
    <hyperlink xmlns:r="http://schemas.openxmlformats.org/officeDocument/2006/relationships" ref="BH10" r:id="rId45"/>
    <hyperlink xmlns:r="http://schemas.openxmlformats.org/officeDocument/2006/relationships" ref="K11" r:id="rId46"/>
    <hyperlink xmlns:r="http://schemas.openxmlformats.org/officeDocument/2006/relationships" ref="AX11" r:id="rId47"/>
    <hyperlink xmlns:r="http://schemas.openxmlformats.org/officeDocument/2006/relationships" ref="AZ11" r:id="rId48"/>
    <hyperlink xmlns:r="http://schemas.openxmlformats.org/officeDocument/2006/relationships" ref="BD11" r:id="rId49"/>
    <hyperlink xmlns:r="http://schemas.openxmlformats.org/officeDocument/2006/relationships" ref="BH11" r:id="rId50"/>
    <hyperlink xmlns:r="http://schemas.openxmlformats.org/officeDocument/2006/relationships" ref="K12" r:id="rId51"/>
    <hyperlink xmlns:r="http://schemas.openxmlformats.org/officeDocument/2006/relationships" ref="AX12" r:id="rId52"/>
    <hyperlink xmlns:r="http://schemas.openxmlformats.org/officeDocument/2006/relationships" ref="AZ12" r:id="rId53"/>
    <hyperlink xmlns:r="http://schemas.openxmlformats.org/officeDocument/2006/relationships" ref="BD12" r:id="rId54"/>
    <hyperlink xmlns:r="http://schemas.openxmlformats.org/officeDocument/2006/relationships" ref="BH12" r:id="rId55"/>
    <hyperlink xmlns:r="http://schemas.openxmlformats.org/officeDocument/2006/relationships" ref="K13" r:id="rId56"/>
    <hyperlink xmlns:r="http://schemas.openxmlformats.org/officeDocument/2006/relationships" ref="AX13" r:id="rId57"/>
    <hyperlink xmlns:r="http://schemas.openxmlformats.org/officeDocument/2006/relationships" ref="AZ13" r:id="rId58"/>
    <hyperlink xmlns:r="http://schemas.openxmlformats.org/officeDocument/2006/relationships" ref="BD13" r:id="rId59"/>
    <hyperlink xmlns:r="http://schemas.openxmlformats.org/officeDocument/2006/relationships" ref="BH13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</cols>
  <sheetData>
    <row r="1">
      <c r="A1" s="5" t="inlineStr"/>
      <c r="B1" s="5" t="inlineStr"/>
      <c r="C1" s="5" t="inlineStr"/>
      <c r="D1" s="5" t="inlineStr"/>
      <c r="E1" s="5" t="inlineStr"/>
      <c r="F1" s="5" t="inlineStr">
        <is>
          <t>Evaluated for ED in</t>
        </is>
      </c>
      <c r="G1" s="3" t="n"/>
      <c r="H1" s="3" t="n"/>
      <c r="I1" s="3" t="n"/>
      <c r="J1" s="3" t="n"/>
      <c r="K1" s="5" t="inlineStr"/>
      <c r="L1" s="5" t="inlineStr">
        <is>
          <t>Also found in</t>
        </is>
      </c>
      <c r="M1" s="5" t="inlineStr"/>
      <c r="N1" s="5" t="inlineStr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</row>
    <row r="2">
      <c r="A2" s="5" t="inlineStr">
        <is>
          <t>Name (ECHA-CHEM)</t>
        </is>
      </c>
      <c r="B2" s="5" t="inlineStr">
        <is>
          <t>Input</t>
        </is>
      </c>
      <c r="C2" s="5" t="inlineStr">
        <is>
          <t>CAS number</t>
        </is>
      </c>
      <c r="D2" s="5" t="inlineStr">
        <is>
          <t>EC number</t>
        </is>
      </c>
      <c r="E2" s="5" t="inlineStr">
        <is>
          <t>Classification</t>
        </is>
      </c>
      <c r="F2" s="5" t="inlineStr">
        <is>
          <t>ED assessment</t>
        </is>
      </c>
      <c r="G2" s="5" t="inlineStr">
        <is>
          <t>On BPR/PPPR list (for ED-HH; for ED-ENV)</t>
        </is>
      </c>
      <c r="H2" s="5" t="inlineStr">
        <is>
          <t>REACH SVHC candidate</t>
        </is>
      </c>
      <c r="I2" s="5" t="inlineStr">
        <is>
          <t>REACH SVHC intent</t>
        </is>
      </c>
      <c r="J2" s="5" t="inlineStr">
        <is>
          <t>CORAP List</t>
        </is>
      </c>
      <c r="K2" s="5" t="inlineStr">
        <is>
          <t>PACT: DEv</t>
        </is>
      </c>
      <c r="L2" s="5" t="inlineStr">
        <is>
          <t>PACT: ARN</t>
        </is>
      </c>
      <c r="M2" s="5" t="inlineStr">
        <is>
          <t>Food lists</t>
        </is>
      </c>
      <c r="N2" s="5" t="inlineStr">
        <is>
          <t>Summary Harmonized</t>
        </is>
      </c>
      <c r="O2" s="5" t="inlineStr">
        <is>
          <t>Summary self-classified</t>
        </is>
      </c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</row>
    <row r="3">
      <c r="A3">
        <f>Sheet1!B2</f>
        <v/>
      </c>
      <c r="B3">
        <f>Sheet1!F2</f>
        <v/>
      </c>
      <c r="C3">
        <f>Sheet1!D2</f>
        <v/>
      </c>
      <c r="D3">
        <f>Sheet1!E2</f>
        <v/>
      </c>
      <c r="E3">
        <f>IF(Sheet1!N2&lt;&gt;"",Sheet1!N2,"Not classified")</f>
        <v/>
      </c>
      <c r="F3">
        <f>CONCATENATE(Sheet1!AE2,IF(OR(Sheet1!AE2="No",Sheet1!AE2=""),""," ("&amp;Sheet1!AF2&amp;")"))</f>
        <v/>
      </c>
      <c r="G3">
        <f>"BPR: "&amp;IF(Sheet1!AB2="Yes","Yes (HH: " &amp;Sheet1!AC2&amp; "; ENV: " &amp;Sheet1!AD2&amp; ")","No")&amp;"; PPR: "&amp;IF(Sheet1!W2="Yes","Yes (HH: "&amp;Sheet1!Y2 &amp;"; ENV: " &amp;Sheet1!Z2&amp; ")","No")</f>
        <v/>
      </c>
      <c r="H3">
        <f>IF(Sheet1!AJ2="Yes","Yes: " &amp; Sheet1!AK2,"No")</f>
        <v/>
      </c>
      <c r="I3">
        <f>IF(Sheet1!AR2="Yes","Yes: " &amp; Sheet1!AS2,"No")</f>
        <v/>
      </c>
      <c r="J3">
        <f>Sheet1!BK2&amp;" ("&amp;Sheet1!BL2&amp;"; "&amp;Sheet1!BM2&amp;")"</f>
        <v/>
      </c>
      <c r="K3">
        <f>Sheet1!AY2</f>
        <v/>
      </c>
      <c r="L3">
        <f>Sheet1!BC2</f>
        <v/>
      </c>
      <c r="M3">
        <f>IF(OR(Sheet1!AN2="Yes",Sheet1!AP2="Yes"),"Yes (" &amp; Sheet1!AO2 &amp; "; " &amp; Sheet1!AQ2 &amp; ")", "No")</f>
        <v/>
      </c>
      <c r="N3" t="inlineStr">
        <is>
          <t>carcinogenicity</t>
        </is>
      </c>
      <c r="O3" t="inlineStr">
        <is>
          <t>-</t>
        </is>
      </c>
    </row>
    <row r="4">
      <c r="A4">
        <f>Sheet1!B3</f>
        <v/>
      </c>
      <c r="B4">
        <f>Sheet1!F3</f>
        <v/>
      </c>
      <c r="C4">
        <f>Sheet1!D3</f>
        <v/>
      </c>
      <c r="D4">
        <f>Sheet1!E3</f>
        <v/>
      </c>
      <c r="E4">
        <f>IF(Sheet1!N3&lt;&gt;"",Sheet1!N3,"Not classified")</f>
        <v/>
      </c>
      <c r="F4">
        <f>CONCATENATE(Sheet1!AE3,IF(OR(Sheet1!AE3="No",Sheet1!AE3=""),""," ("&amp;Sheet1!AF3&amp;")"))</f>
        <v/>
      </c>
      <c r="G4">
        <f>"BPR: "&amp;IF(Sheet1!AB3="Yes","Yes (HH: " &amp;Sheet1!AC3&amp; "; ENV: " &amp;Sheet1!AD3&amp; ")","No")&amp;"; PPR: "&amp;IF(Sheet1!W3="Yes","Yes (HH: "&amp;Sheet1!Y3 &amp;"; ENV: " &amp;Sheet1!Z3&amp; ")","No")</f>
        <v/>
      </c>
      <c r="H4">
        <f>IF(Sheet1!AJ3="Yes","Yes: " &amp; Sheet1!AK3,"No")</f>
        <v/>
      </c>
      <c r="I4">
        <f>IF(Sheet1!AR3="Yes","Yes: " &amp; Sheet1!AS3,"No")</f>
        <v/>
      </c>
      <c r="J4">
        <f>Sheet1!BK3&amp;" ("&amp;Sheet1!BL3&amp;"; "&amp;Sheet1!BM3&amp;")"</f>
        <v/>
      </c>
      <c r="K4">
        <f>Sheet1!AY3</f>
        <v/>
      </c>
      <c r="L4">
        <f>Sheet1!BC3</f>
        <v/>
      </c>
      <c r="M4">
        <f>IF(OR(Sheet1!AN3="Yes",Sheet1!AP3="Yes"),"Yes (" &amp; Sheet1!AO3 &amp; "; " &amp; Sheet1!AQ3 &amp; ")", "No")</f>
        <v/>
      </c>
      <c r="N4" t="inlineStr">
        <is>
          <t>-</t>
        </is>
      </c>
      <c r="O4" t="inlineStr">
        <is>
          <t>other classification</t>
        </is>
      </c>
    </row>
    <row r="5">
      <c r="A5">
        <f>Sheet1!B4</f>
        <v/>
      </c>
      <c r="B5">
        <f>Sheet1!F4</f>
        <v/>
      </c>
      <c r="C5">
        <f>Sheet1!D4</f>
        <v/>
      </c>
      <c r="D5">
        <f>Sheet1!E4</f>
        <v/>
      </c>
      <c r="E5">
        <f>IF(Sheet1!N4&lt;&gt;"",Sheet1!N4,"Not classified")</f>
        <v/>
      </c>
      <c r="F5">
        <f>CONCATENATE(Sheet1!AE4,IF(OR(Sheet1!AE4="No",Sheet1!AE4=""),""," ("&amp;Sheet1!AF4&amp;")"))</f>
        <v/>
      </c>
      <c r="G5">
        <f>"BPR: "&amp;IF(Sheet1!AB4="Yes","Yes (HH: " &amp;Sheet1!AC4&amp; "; ENV: " &amp;Sheet1!AD4&amp; ")","No")&amp;"; PPR: "&amp;IF(Sheet1!W4="Yes","Yes (HH: "&amp;Sheet1!Y4 &amp;"; ENV: " &amp;Sheet1!Z4&amp; ")","No")</f>
        <v/>
      </c>
      <c r="H5">
        <f>IF(Sheet1!AJ4="Yes","Yes: " &amp; Sheet1!AK4,"No")</f>
        <v/>
      </c>
      <c r="I5">
        <f>IF(Sheet1!AR4="Yes","Yes: " &amp; Sheet1!AS4,"No")</f>
        <v/>
      </c>
      <c r="J5">
        <f>Sheet1!BK4&amp;" ("&amp;Sheet1!BL4&amp;"; "&amp;Sheet1!BM4&amp;")"</f>
        <v/>
      </c>
      <c r="K5">
        <f>Sheet1!AY4</f>
        <v/>
      </c>
      <c r="L5">
        <f>Sheet1!BC4</f>
        <v/>
      </c>
      <c r="M5">
        <f>IF(OR(Sheet1!AN4="Yes",Sheet1!AP4="Yes"),"Yes (" &amp; Sheet1!AO4 &amp; "; " &amp; Sheet1!AQ4 &amp; ")", "No")</f>
        <v/>
      </c>
      <c r="N5" t="inlineStr">
        <is>
          <t>-</t>
        </is>
      </c>
      <c r="O5" t="inlineStr">
        <is>
          <t>other classification</t>
        </is>
      </c>
    </row>
    <row r="6">
      <c r="A6">
        <f>Sheet1!B5</f>
        <v/>
      </c>
      <c r="B6">
        <f>Sheet1!F5</f>
        <v/>
      </c>
      <c r="C6">
        <f>Sheet1!D5</f>
        <v/>
      </c>
      <c r="D6">
        <f>Sheet1!E5</f>
        <v/>
      </c>
      <c r="E6">
        <f>IF(Sheet1!N5&lt;&gt;"",Sheet1!N5,"Not classified")</f>
        <v/>
      </c>
      <c r="F6">
        <f>CONCATENATE(Sheet1!AE5,IF(OR(Sheet1!AE5="No",Sheet1!AE5=""),""," ("&amp;Sheet1!AF5&amp;")"))</f>
        <v/>
      </c>
      <c r="G6">
        <f>"BPR: "&amp;IF(Sheet1!AB5="Yes","Yes (HH: " &amp;Sheet1!AC5&amp; "; ENV: " &amp;Sheet1!AD5&amp; ")","No")&amp;"; PPR: "&amp;IF(Sheet1!W5="Yes","Yes (HH: "&amp;Sheet1!Y5 &amp;"; ENV: " &amp;Sheet1!Z5&amp; ")","No")</f>
        <v/>
      </c>
      <c r="H6">
        <f>IF(Sheet1!AJ5="Yes","Yes: " &amp; Sheet1!AK5,"No")</f>
        <v/>
      </c>
      <c r="I6">
        <f>IF(Sheet1!AR5="Yes","Yes: " &amp; Sheet1!AS5,"No")</f>
        <v/>
      </c>
      <c r="J6">
        <f>Sheet1!BK5&amp;" ("&amp;Sheet1!BL5&amp;"; "&amp;Sheet1!BM5&amp;")"</f>
        <v/>
      </c>
      <c r="K6">
        <f>Sheet1!AY5</f>
        <v/>
      </c>
      <c r="L6">
        <f>Sheet1!BC5</f>
        <v/>
      </c>
      <c r="M6">
        <f>IF(OR(Sheet1!AN5="Yes",Sheet1!AP5="Yes"),"Yes (" &amp; Sheet1!AO5 &amp; "; " &amp; Sheet1!AQ5 &amp; ")", "No")</f>
        <v/>
      </c>
      <c r="N6" t="inlineStr">
        <is>
          <t>-</t>
        </is>
      </c>
      <c r="O6" t="inlineStr">
        <is>
          <t>other classification</t>
        </is>
      </c>
    </row>
    <row r="7">
      <c r="A7">
        <f>Sheet1!B6</f>
        <v/>
      </c>
      <c r="B7">
        <f>Sheet1!F6</f>
        <v/>
      </c>
      <c r="C7">
        <f>Sheet1!D6</f>
        <v/>
      </c>
      <c r="D7">
        <f>Sheet1!E6</f>
        <v/>
      </c>
      <c r="E7">
        <f>IF(Sheet1!N6&lt;&gt;"",Sheet1!N6,"Not classified")</f>
        <v/>
      </c>
      <c r="F7">
        <f>CONCATENATE(Sheet1!AE6,IF(OR(Sheet1!AE6="No",Sheet1!AE6=""),""," ("&amp;Sheet1!AF6&amp;")"))</f>
        <v/>
      </c>
      <c r="G7">
        <f>"BPR: "&amp;IF(Sheet1!AB6="Yes","Yes (HH: " &amp;Sheet1!AC6&amp; "; ENV: " &amp;Sheet1!AD6&amp; ")","No")&amp;"; PPR: "&amp;IF(Sheet1!W6="Yes","Yes (HH: "&amp;Sheet1!Y6 &amp;"; ENV: " &amp;Sheet1!Z6&amp; ")","No")</f>
        <v/>
      </c>
      <c r="H7">
        <f>IF(Sheet1!AJ6="Yes","Yes: " &amp; Sheet1!AK6,"No")</f>
        <v/>
      </c>
      <c r="I7">
        <f>IF(Sheet1!AR6="Yes","Yes: " &amp; Sheet1!AS6,"No")</f>
        <v/>
      </c>
      <c r="J7">
        <f>Sheet1!BK6&amp;" ("&amp;Sheet1!BL6&amp;"; "&amp;Sheet1!BM6&amp;")"</f>
        <v/>
      </c>
      <c r="K7">
        <f>Sheet1!AY6</f>
        <v/>
      </c>
      <c r="L7">
        <f>Sheet1!BC6</f>
        <v/>
      </c>
      <c r="M7">
        <f>IF(OR(Sheet1!AN6="Yes",Sheet1!AP6="Yes"),"Yes (" &amp; Sheet1!AO6 &amp; "; " &amp; Sheet1!AQ6 &amp; ")", "No")</f>
        <v/>
      </c>
      <c r="N7" t="inlineStr">
        <is>
          <t>-</t>
        </is>
      </c>
      <c r="O7" t="inlineStr">
        <is>
          <t>other classification</t>
        </is>
      </c>
    </row>
    <row r="8">
      <c r="A8">
        <f>Sheet1!B7</f>
        <v/>
      </c>
      <c r="B8">
        <f>Sheet1!F7</f>
        <v/>
      </c>
      <c r="C8">
        <f>Sheet1!D7</f>
        <v/>
      </c>
      <c r="D8">
        <f>Sheet1!E7</f>
        <v/>
      </c>
      <c r="E8">
        <f>IF(Sheet1!N7&lt;&gt;"",Sheet1!N7,"Not classified")</f>
        <v/>
      </c>
      <c r="F8">
        <f>CONCATENATE(Sheet1!AE7,IF(OR(Sheet1!AE7="No",Sheet1!AE7=""),""," ("&amp;Sheet1!AF7&amp;")"))</f>
        <v/>
      </c>
      <c r="G8">
        <f>"BPR: "&amp;IF(Sheet1!AB7="Yes","Yes (HH: " &amp;Sheet1!AC7&amp; "; ENV: " &amp;Sheet1!AD7&amp; ")","No")&amp;"; PPR: "&amp;IF(Sheet1!W7="Yes","Yes (HH: "&amp;Sheet1!Y7 &amp;"; ENV: " &amp;Sheet1!Z7&amp; ")","No")</f>
        <v/>
      </c>
      <c r="H8">
        <f>IF(Sheet1!AJ7="Yes","Yes: " &amp; Sheet1!AK7,"No")</f>
        <v/>
      </c>
      <c r="I8">
        <f>IF(Sheet1!AR7="Yes","Yes: " &amp; Sheet1!AS7,"No")</f>
        <v/>
      </c>
      <c r="J8">
        <f>Sheet1!BK7&amp;" ("&amp;Sheet1!BL7&amp;"; "&amp;Sheet1!BM7&amp;")"</f>
        <v/>
      </c>
      <c r="K8">
        <f>Sheet1!AY7</f>
        <v/>
      </c>
      <c r="L8">
        <f>Sheet1!BC7</f>
        <v/>
      </c>
      <c r="M8">
        <f>IF(OR(Sheet1!AN7="Yes",Sheet1!AP7="Yes"),"Yes (" &amp; Sheet1!AO7 &amp; "; " &amp; Sheet1!AQ7 &amp; ")", "No")</f>
        <v/>
      </c>
      <c r="N8" t="inlineStr">
        <is>
          <t>carcinogenicity</t>
        </is>
      </c>
      <c r="O8" t="inlineStr">
        <is>
          <t>-</t>
        </is>
      </c>
    </row>
    <row r="9">
      <c r="A9">
        <f>Sheet1!B8</f>
        <v/>
      </c>
      <c r="B9">
        <f>Sheet1!F8</f>
        <v/>
      </c>
      <c r="C9">
        <f>Sheet1!D8</f>
        <v/>
      </c>
      <c r="D9">
        <f>Sheet1!E8</f>
        <v/>
      </c>
      <c r="E9">
        <f>IF(Sheet1!N8&lt;&gt;"",Sheet1!N8,"Not classified")</f>
        <v/>
      </c>
      <c r="F9">
        <f>CONCATENATE(Sheet1!AE8,IF(OR(Sheet1!AE8="No",Sheet1!AE8=""),""," ("&amp;Sheet1!AF8&amp;")"))</f>
        <v/>
      </c>
      <c r="G9">
        <f>"BPR: "&amp;IF(Sheet1!AB8="Yes","Yes (HH: " &amp;Sheet1!AC8&amp; "; ENV: " &amp;Sheet1!AD8&amp; ")","No")&amp;"; PPR: "&amp;IF(Sheet1!W8="Yes","Yes (HH: "&amp;Sheet1!Y8 &amp;"; ENV: " &amp;Sheet1!Z8&amp; ")","No")</f>
        <v/>
      </c>
      <c r="H9">
        <f>IF(Sheet1!AJ8="Yes","Yes: " &amp; Sheet1!AK8,"No")</f>
        <v/>
      </c>
      <c r="I9">
        <f>IF(Sheet1!AR8="Yes","Yes: " &amp; Sheet1!AS8,"No")</f>
        <v/>
      </c>
      <c r="J9">
        <f>Sheet1!BK8&amp;" ("&amp;Sheet1!BL8&amp;"; "&amp;Sheet1!BM8&amp;")"</f>
        <v/>
      </c>
      <c r="K9">
        <f>Sheet1!AY8</f>
        <v/>
      </c>
      <c r="L9">
        <f>Sheet1!BC8</f>
        <v/>
      </c>
      <c r="M9">
        <f>IF(OR(Sheet1!AN8="Yes",Sheet1!AP8="Yes"),"Yes (" &amp; Sheet1!AO8 &amp; "; " &amp; Sheet1!AQ8 &amp; ")", "No")</f>
        <v/>
      </c>
      <c r="N9" t="inlineStr">
        <is>
          <t>-</t>
        </is>
      </c>
      <c r="O9" t="inlineStr">
        <is>
          <t>other classification</t>
        </is>
      </c>
    </row>
    <row r="10">
      <c r="A10">
        <f>Sheet1!B9</f>
        <v/>
      </c>
      <c r="B10">
        <f>Sheet1!F9</f>
        <v/>
      </c>
      <c r="C10">
        <f>Sheet1!D9</f>
        <v/>
      </c>
      <c r="D10">
        <f>Sheet1!E9</f>
        <v/>
      </c>
      <c r="E10">
        <f>IF(Sheet1!N9&lt;&gt;"",Sheet1!N9,"Not classified")</f>
        <v/>
      </c>
      <c r="F10">
        <f>CONCATENATE(Sheet1!AE9,IF(OR(Sheet1!AE9="No",Sheet1!AE9=""),""," ("&amp;Sheet1!AF9&amp;")"))</f>
        <v/>
      </c>
      <c r="G10">
        <f>"BPR: "&amp;IF(Sheet1!AB9="Yes","Yes (HH: " &amp;Sheet1!AC9&amp; "; ENV: " &amp;Sheet1!AD9&amp; ")","No")&amp;"; PPR: "&amp;IF(Sheet1!W9="Yes","Yes (HH: "&amp;Sheet1!Y9 &amp;"; ENV: " &amp;Sheet1!Z9&amp; ")","No")</f>
        <v/>
      </c>
      <c r="H10">
        <f>IF(Sheet1!AJ9="Yes","Yes: " &amp; Sheet1!AK9,"No")</f>
        <v/>
      </c>
      <c r="I10">
        <f>IF(Sheet1!AR9="Yes","Yes: " &amp; Sheet1!AS9,"No")</f>
        <v/>
      </c>
      <c r="J10">
        <f>Sheet1!BK9&amp;" ("&amp;Sheet1!BL9&amp;"; "&amp;Sheet1!BM9&amp;")"</f>
        <v/>
      </c>
      <c r="K10">
        <f>Sheet1!AY9</f>
        <v/>
      </c>
      <c r="L10">
        <f>Sheet1!BC9</f>
        <v/>
      </c>
      <c r="M10">
        <f>IF(OR(Sheet1!AN9="Yes",Sheet1!AP9="Yes"),"Yes (" &amp; Sheet1!AO9 &amp; "; " &amp; Sheet1!AQ9 &amp; ")", "No")</f>
        <v/>
      </c>
      <c r="N10" t="inlineStr">
        <is>
          <t>-</t>
        </is>
      </c>
      <c r="O10" t="inlineStr">
        <is>
          <t>other classification</t>
        </is>
      </c>
    </row>
    <row r="11">
      <c r="A11">
        <f>Sheet1!B10</f>
        <v/>
      </c>
      <c r="B11">
        <f>Sheet1!F10</f>
        <v/>
      </c>
      <c r="C11">
        <f>Sheet1!D10</f>
        <v/>
      </c>
      <c r="D11">
        <f>Sheet1!E10</f>
        <v/>
      </c>
      <c r="E11">
        <f>IF(Sheet1!N10&lt;&gt;"",Sheet1!N10,"Not classified")</f>
        <v/>
      </c>
      <c r="F11">
        <f>CONCATENATE(Sheet1!AE10,IF(OR(Sheet1!AE10="No",Sheet1!AE10=""),""," ("&amp;Sheet1!AF10&amp;")"))</f>
        <v/>
      </c>
      <c r="G11">
        <f>"BPR: "&amp;IF(Sheet1!AB10="Yes","Yes (HH: " &amp;Sheet1!AC10&amp; "; ENV: " &amp;Sheet1!AD10&amp; ")","No")&amp;"; PPR: "&amp;IF(Sheet1!W10="Yes","Yes (HH: "&amp;Sheet1!Y10 &amp;"; ENV: " &amp;Sheet1!Z10&amp; ")","No")</f>
        <v/>
      </c>
      <c r="H11">
        <f>IF(Sheet1!AJ10="Yes","Yes: " &amp; Sheet1!AK10,"No")</f>
        <v/>
      </c>
      <c r="I11">
        <f>IF(Sheet1!AR10="Yes","Yes: " &amp; Sheet1!AS10,"No")</f>
        <v/>
      </c>
      <c r="J11">
        <f>Sheet1!BK10&amp;" ("&amp;Sheet1!BL10&amp;"; "&amp;Sheet1!BM10&amp;")"</f>
        <v/>
      </c>
      <c r="K11">
        <f>Sheet1!AY10</f>
        <v/>
      </c>
      <c r="L11">
        <f>Sheet1!BC10</f>
        <v/>
      </c>
      <c r="M11">
        <f>IF(OR(Sheet1!AN10="Yes",Sheet1!AP10="Yes"),"Yes (" &amp; Sheet1!AO10 &amp; "; " &amp; Sheet1!AQ10 &amp; ")", "No")</f>
        <v/>
      </c>
      <c r="N11" t="inlineStr">
        <is>
          <t>carcinogenicity</t>
        </is>
      </c>
      <c r="O11" t="inlineStr">
        <is>
          <t>-</t>
        </is>
      </c>
    </row>
    <row r="12">
      <c r="A12">
        <f>Sheet1!B11</f>
        <v/>
      </c>
      <c r="B12">
        <f>Sheet1!F11</f>
        <v/>
      </c>
      <c r="C12">
        <f>Sheet1!D11</f>
        <v/>
      </c>
      <c r="D12">
        <f>Sheet1!E11</f>
        <v/>
      </c>
      <c r="E12">
        <f>IF(Sheet1!N11&lt;&gt;"",Sheet1!N11,"Not classified")</f>
        <v/>
      </c>
      <c r="F12">
        <f>CONCATENATE(Sheet1!AE11,IF(OR(Sheet1!AE11="No",Sheet1!AE11=""),""," ("&amp;Sheet1!AF11&amp;")"))</f>
        <v/>
      </c>
      <c r="G12">
        <f>"BPR: "&amp;IF(Sheet1!AB11="Yes","Yes (HH: " &amp;Sheet1!AC11&amp; "; ENV: " &amp;Sheet1!AD11&amp; ")","No")&amp;"; PPR: "&amp;IF(Sheet1!W11="Yes","Yes (HH: "&amp;Sheet1!Y11 &amp;"; ENV: " &amp;Sheet1!Z11&amp; ")","No")</f>
        <v/>
      </c>
      <c r="H12">
        <f>IF(Sheet1!AJ11="Yes","Yes: " &amp; Sheet1!AK11,"No")</f>
        <v/>
      </c>
      <c r="I12">
        <f>IF(Sheet1!AR11="Yes","Yes: " &amp; Sheet1!AS11,"No")</f>
        <v/>
      </c>
      <c r="J12">
        <f>Sheet1!BK11&amp;" ("&amp;Sheet1!BL11&amp;"; "&amp;Sheet1!BM11&amp;")"</f>
        <v/>
      </c>
      <c r="K12">
        <f>Sheet1!AY11</f>
        <v/>
      </c>
      <c r="L12">
        <f>Sheet1!BC11</f>
        <v/>
      </c>
      <c r="M12">
        <f>IF(OR(Sheet1!AN11="Yes",Sheet1!AP11="Yes"),"Yes (" &amp; Sheet1!AO11 &amp; "; " &amp; Sheet1!AQ11 &amp; ")", "No")</f>
        <v/>
      </c>
      <c r="N12" t="inlineStr">
        <is>
          <t>-</t>
        </is>
      </c>
      <c r="O12" t="inlineStr">
        <is>
          <t>other classification</t>
        </is>
      </c>
    </row>
    <row r="13">
      <c r="A13">
        <f>Sheet1!B12</f>
        <v/>
      </c>
      <c r="B13">
        <f>Sheet1!F12</f>
        <v/>
      </c>
      <c r="C13">
        <f>Sheet1!D12</f>
        <v/>
      </c>
      <c r="D13">
        <f>Sheet1!E12</f>
        <v/>
      </c>
      <c r="E13">
        <f>IF(Sheet1!N12&lt;&gt;"",Sheet1!N12,"Not classified")</f>
        <v/>
      </c>
      <c r="F13">
        <f>CONCATENATE(Sheet1!AE12,IF(OR(Sheet1!AE12="No",Sheet1!AE12=""),""," ("&amp;Sheet1!AF12&amp;")"))</f>
        <v/>
      </c>
      <c r="G13">
        <f>"BPR: "&amp;IF(Sheet1!AB12="Yes","Yes (HH: " &amp;Sheet1!AC12&amp; "; ENV: " &amp;Sheet1!AD12&amp; ")","No")&amp;"; PPR: "&amp;IF(Sheet1!W12="Yes","Yes (HH: "&amp;Sheet1!Y12 &amp;"; ENV: " &amp;Sheet1!Z12&amp; ")","No")</f>
        <v/>
      </c>
      <c r="H13">
        <f>IF(Sheet1!AJ12="Yes","Yes: " &amp; Sheet1!AK12,"No")</f>
        <v/>
      </c>
      <c r="I13">
        <f>IF(Sheet1!AR12="Yes","Yes: " &amp; Sheet1!AS12,"No")</f>
        <v/>
      </c>
      <c r="J13">
        <f>Sheet1!BK12&amp;" ("&amp;Sheet1!BL12&amp;"; "&amp;Sheet1!BM12&amp;")"</f>
        <v/>
      </c>
      <c r="K13">
        <f>Sheet1!AY12</f>
        <v/>
      </c>
      <c r="L13">
        <f>Sheet1!BC12</f>
        <v/>
      </c>
      <c r="M13">
        <f>IF(OR(Sheet1!AN12="Yes",Sheet1!AP12="Yes"),"Yes (" &amp; Sheet1!AO12 &amp; "; " &amp; Sheet1!AQ12 &amp; ")", "No")</f>
        <v/>
      </c>
      <c r="N13" t="inlineStr">
        <is>
          <t>-</t>
        </is>
      </c>
      <c r="O13" t="inlineStr">
        <is>
          <t>other classification</t>
        </is>
      </c>
    </row>
    <row r="14">
      <c r="A14">
        <f>Sheet1!B13</f>
        <v/>
      </c>
      <c r="B14">
        <f>Sheet1!F13</f>
        <v/>
      </c>
      <c r="C14">
        <f>Sheet1!D13</f>
        <v/>
      </c>
      <c r="D14">
        <f>Sheet1!E13</f>
        <v/>
      </c>
      <c r="E14">
        <f>IF(Sheet1!N13&lt;&gt;"",Sheet1!N13,"Not classified")</f>
        <v/>
      </c>
      <c r="F14">
        <f>CONCATENATE(Sheet1!AE13,IF(OR(Sheet1!AE13="No",Sheet1!AE13=""),""," ("&amp;Sheet1!AF13&amp;")"))</f>
        <v/>
      </c>
      <c r="G14">
        <f>"BPR: "&amp;IF(Sheet1!AB13="Yes","Yes (HH: " &amp;Sheet1!AC13&amp; "; ENV: " &amp;Sheet1!AD13&amp; ")","No")&amp;"; PPR: "&amp;IF(Sheet1!W13="Yes","Yes (HH: "&amp;Sheet1!Y13 &amp;"; ENV: " &amp;Sheet1!Z13&amp; ")","No")</f>
        <v/>
      </c>
      <c r="H14">
        <f>IF(Sheet1!AJ13="Yes","Yes: " &amp; Sheet1!AK13,"No")</f>
        <v/>
      </c>
      <c r="I14">
        <f>IF(Sheet1!AR13="Yes","Yes: " &amp; Sheet1!AS13,"No")</f>
        <v/>
      </c>
      <c r="J14">
        <f>Sheet1!BK13&amp;" ("&amp;Sheet1!BL13&amp;"; "&amp;Sheet1!BM13&amp;")"</f>
        <v/>
      </c>
      <c r="K14">
        <f>Sheet1!AY13</f>
        <v/>
      </c>
      <c r="L14">
        <f>Sheet1!BC13</f>
        <v/>
      </c>
      <c r="M14">
        <f>IF(OR(Sheet1!AN13="Yes",Sheet1!AP13="Yes"),"Yes (" &amp; Sheet1!AO13 &amp; "; " &amp; Sheet1!AQ13 &amp; ")", "No")</f>
        <v/>
      </c>
      <c r="N14" t="inlineStr">
        <is>
          <t>-</t>
        </is>
      </c>
      <c r="O14" t="inlineStr">
        <is>
          <t>other classification</t>
        </is>
      </c>
    </row>
  </sheetData>
  <mergeCells count="1"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2025-09-10T10:47:09Z</dcterms:created>
  <dcterms:modified xmlns:dcterms="http://purl.org/dc/terms/" xmlns:xsi="http://www.w3.org/2001/XMLSchema-instance" xsi:type="dcterms:W3CDTF">2025-09-10T10:47:09Z</dcterms:modified>
</cp:coreProperties>
</file>